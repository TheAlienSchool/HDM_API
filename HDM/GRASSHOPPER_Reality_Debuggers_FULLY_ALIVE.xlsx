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EVOLUTION" sheetId="2" state="visible" r:id="rId2"/>
    <sheet xmlns:r="http://schemas.openxmlformats.org/officeDocument/2006/relationships" name="🗺️ THE MAP" sheetId="3" state="visible" r:id="rId3"/>
    <sheet xmlns:r="http://schemas.openxmlformats.org/officeDocument/2006/relationships" name="🧬 THE LEAPERS" sheetId="4" state="visible" r:id="rId4"/>
    <sheet xmlns:r="http://schemas.openxmlformats.org/officeDocument/2006/relationships" name="👥 THE NEIGHBORS" sheetId="5" state="visible" r:id="rId5"/>
    <sheet xmlns:r="http://schemas.openxmlformats.org/officeDocument/2006/relationships" name="⚡ THE GLITCHES" sheetId="6" state="visible" r:id="rId6"/>
    <sheet xmlns:r="http://schemas.openxmlformats.org/officeDocument/2006/relationships" name="📚 THE LORE" sheetId="7" state="visible" r:id="rId7"/>
    <sheet xmlns:r="http://schemas.openxmlformats.org/officeDocument/2006/relationships" name="🔀 THE MANDELA" sheetId="8" state="visible" r:id="rId8"/>
    <sheet xmlns:r="http://schemas.openxmlformats.org/officeDocument/2006/relationships" name="🎛️ CONTROL PANEL" sheetId="9" state="visible" r:id="rId9"/>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19">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2">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cellXfs>
  <cellStyles count="1">
    <cellStyle name="Normal" xfId="0" builtinId="0" hidden="0"/>
  </cellStyles>
  <dxfs count="9">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Psychedelic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does not explain itself.</t>
        </is>
      </c>
      <c r="C14" s="1" t="n"/>
    </row>
    <row r="15" ht="18" customHeight="1">
      <c r="A15" s="1" t="n"/>
      <c r="B15" s="9" t="inlineStr">
        <is>
          <t>Neither does this spreadsheet.</t>
        </is>
      </c>
      <c r="C15" s="1" t="n"/>
    </row>
    <row r="16" ht="18" customHeight="1">
      <c r="A16" s="1" t="n"/>
      <c r="B16" s="5" t="inlineStr"/>
      <c r="C16" s="1" t="n"/>
    </row>
    <row r="17" ht="18" customHeight="1">
      <c r="A17" s="1" t="n"/>
      <c r="B17" s="10" t="inlineStr">
        <is>
          <t>HOW TO INHABIT THIS WORLD</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have already changed</t>
        </is>
      </c>
      <c r="C32" s="1" t="n"/>
    </row>
    <row r="33" ht="18" customHeight="1">
      <c r="A33" s="1" t="n"/>
      <c r="B33" s="16" t="inlineStr">
        <is>
          <t>since the last time you read them.</t>
        </is>
      </c>
      <c r="C33" s="1" t="n"/>
    </row>
    <row r="34" ht="18" customHeight="1">
      <c r="A34" s="1" t="n"/>
      <c r="B34" s="17" t="inlineStr">
        <is>
          <t>This is not an error.</t>
        </is>
      </c>
      <c r="C34" s="1" t="n"/>
    </row>
    <row r="35" ht="18" customHeight="1">
      <c r="A35" s="1" t="n"/>
      <c r="B35" s="5" t="inlineStr"/>
      <c r="C35" s="1" t="n"/>
    </row>
    <row r="36" ht="18" customHeight="1">
      <c r="A36" s="1" t="n"/>
      <c r="B36" s="14" t="inlineStr">
        <is>
          <t>THE THIRD RULE</t>
        </is>
      </c>
      <c r="C36" s="1" t="n"/>
    </row>
    <row r="37" ht="18" customHeight="1">
      <c r="A37" s="1" t="n"/>
      <c r="B37" s="18" t="inlineStr">
        <is>
          <t>The Grasshopper is always already here.</t>
        </is>
      </c>
      <c r="C37" s="1" t="n"/>
    </row>
    <row r="38" ht="18" customHeight="1">
      <c r="A38" s="1" t="n"/>
      <c r="B38" s="19" t="inlineStr">
        <is>
          <t>Listen for the chirp.</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n"/>
      <c r="C44" s="1" t="n"/>
    </row>
    <row r="45" ht="18" customHeight="1">
      <c r="A45" s="1" t="n"/>
      <c r="B45" s="1" t="n"/>
      <c r="C45" s="1" t="n"/>
    </row>
    <row r="46" ht="18" customHeight="1">
      <c r="A46" s="1" t="n"/>
      <c r="B46" s="1" t="n"/>
      <c r="C46" s="1" t="n"/>
    </row>
    <row r="47" ht="18" customHeight="1">
      <c r="A47" s="1" t="n"/>
      <c r="B47" s="1" t="n"/>
      <c r="C47" s="1" t="n"/>
    </row>
    <row r="48" ht="18" customHeight="1">
      <c r="A48" s="1" t="n"/>
      <c r="B48" s="1" t="n"/>
      <c r="C48" s="1" t="n"/>
    </row>
    <row r="49" ht="18" customHeight="1">
      <c r="A49" s="1" t="n"/>
      <c r="B49" s="1" t="n"/>
      <c r="C49" s="1" t="n"/>
    </row>
    <row r="50" ht="18" customHeight="1">
      <c r="A50" s="1" t="n"/>
      <c r="B50" s="1" t="n"/>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n"/>
      <c r="B10" s="143" t="n"/>
    </row>
    <row r="11">
      <c r="A11" s="142" t="inlineStr">
        <is>
          <t>Notes</t>
        </is>
      </c>
      <c r="B11" s="143" t="n"/>
    </row>
    <row r="12">
      <c r="A12" s="143" t="inlineStr">
        <is>
          <t>• Change values in 🔀 THE MANDELA (CURRENT REALITY). DISCREPANCY LEVEL updates automatically.</t>
        </is>
      </c>
      <c r="B12" s="143" t="n"/>
    </row>
    <row r="13">
      <c r="A13" s="143" t="inlineStr">
        <is>
          <t>• ⚡ THE GLITCHES gains AUTO fields driven by Mandela discrepancies and location matching.</t>
        </is>
      </c>
      <c r="B13" s="143" t="n"/>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I10"/>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row r="18" ht="22" customHeight="1"/>
    <row r="19" ht="22" customHeight="1"/>
    <row r="20" ht="22" customHeight="1"/>
    <row r="21" ht="22" customHeight="1"/>
    <row r="22" ht="22" customHeight="1"/>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06B6D4"/>
    <outlinePr summaryBelow="1" summaryRight="1"/>
    <pageSetUpPr/>
  </sheetPr>
  <dimension ref="A1:I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row>
    <row r="8" ht="20" customHeight="1"/>
    <row r="9" ht="30" customHeight="1">
      <c r="A9" s="97" t="inlineStr">
        <is>
          <t>⚙️  FOCUS MODE is the active perceptual lens. Change a Leaper's FOCUS MODE to unlock hidden notes on THE MAP. Options: CURRENT · PAST · ANCESTRAL · SEAM · ECHO · ERROR · LOVE</t>
        </is>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5.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EF4444"/>
    <outlinePr summaryBelow="1" summaryRight="1"/>
    <pageSetUpPr/>
  </sheetPr>
  <dimension ref="A1:M17"/>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 width="18" customWidth="1" min="10" max="10"/>
    <col width="16" customWidth="1" min="11" max="11"/>
    <col width="18" customWidth="1" min="12" max="12"/>
  </cols>
  <sheetData>
    <row r="1">
      <c r="A1" s="118" t="inlineStr">
        <is>
          <t>⚡  THE GLITCHES  ·  15 Case Files  ·  The Parables Made Playable</t>
        </is>
      </c>
      <c r="M1" t="inlineStr">
        <is>
          <t>ESCALATION LEVEL</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c r="J2" s="146" t="inlineStr">
        <is>
          <t>AUTO TRIGGER</t>
        </is>
      </c>
      <c r="K2" s="146" t="inlineStr">
        <is>
          <t>REALITY STRAIN</t>
        </is>
      </c>
      <c r="L2" s="146" t="inlineStr">
        <is>
          <t>AUTO STATUS</t>
        </is>
      </c>
      <c r="M2">
        <f>IF(🧠 EVOLUTION!B4="FRACTURING","CASCADING",IF(H2="ACTIVE","ESCALATED","DORMANT"))</f>
        <v/>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c r="J3">
        <f>IF(SUMPRODUCT(--ISNUMBER(SEARCH($C3,'🔀 THE MANDELA'!$A$4:$A$23)),--('🔀 THE MANDELA'!$D$4:$D$23&lt;&gt;"NONE"))&gt;0,"YES","NO")</f>
        <v/>
      </c>
      <c r="K3">
        <f>SUMPRODUCT(--ISNUMBER(SEARCH($C3,'🔀 THE MANDELA'!$A$4:$A$23)),(('🔀 THE MANDELA'!$D$4:$D$23="LOW")*1+('🔀 THE MANDELA'!$D$4:$D$23="MEDIUM")*2+('🔀 THE MANDELA'!$D$4:$D$23="HIGH")*3))</f>
        <v/>
      </c>
      <c r="L3">
        <f>IF($J3="YES",IF($K3&gt;=2,"ACTIVE",$G3),$G3)</f>
        <v/>
      </c>
      <c r="M3">
        <f>IF(🧠 EVOLUTION!B4="FRACTURING","CASCADING",IF(H3="ACTIVE","ESCALATED","DORMANT"))</f>
        <v/>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c r="J4">
        <f>IF(SUMPRODUCT(--ISNUMBER(SEARCH($C4,'🔀 THE MANDELA'!$A$4:$A$23)),--('🔀 THE MANDELA'!$D$4:$D$23&lt;&gt;"NONE"))&gt;0,"YES","NO")</f>
        <v/>
      </c>
      <c r="K4">
        <f>SUMPRODUCT(--ISNUMBER(SEARCH($C4,'🔀 THE MANDELA'!$A$4:$A$23)),(('🔀 THE MANDELA'!$D$4:$D$23="LOW")*1+('🔀 THE MANDELA'!$D$4:$D$23="MEDIUM")*2+('🔀 THE MANDELA'!$D$4:$D$23="HIGH")*3))</f>
        <v/>
      </c>
      <c r="L4">
        <f>IF($J4="YES",IF($K4&gt;=2,"ACTIVE",$G4),$G4)</f>
        <v/>
      </c>
      <c r="M4">
        <f>IF(🧠 EVOLUTION!B4="FRACTURING","CASCADING",IF(H4="ACTIVE","ESCALATED","DORMANT"))</f>
        <v/>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c r="J5">
        <f>IF(SUMPRODUCT(--ISNUMBER(SEARCH($C5,'🔀 THE MANDELA'!$A$4:$A$23)),--('🔀 THE MANDELA'!$D$4:$D$23&lt;&gt;"NONE"))&gt;0,"YES","NO")</f>
        <v/>
      </c>
      <c r="K5">
        <f>SUMPRODUCT(--ISNUMBER(SEARCH($C5,'🔀 THE MANDELA'!$A$4:$A$23)),(('🔀 THE MANDELA'!$D$4:$D$23="LOW")*1+('🔀 THE MANDELA'!$D$4:$D$23="MEDIUM")*2+('🔀 THE MANDELA'!$D$4:$D$23="HIGH")*3))</f>
        <v/>
      </c>
      <c r="L5">
        <f>IF($J5="YES",IF($K5&gt;=2,"ACTIVE",$G5),$G5)</f>
        <v/>
      </c>
      <c r="M5">
        <f>IF(🧠 EVOLUTION!B4="FRACTURING","CASCADING",IF(H5="ACTIVE","ESCALATED","DORMANT"))</f>
        <v/>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c r="J6">
        <f>IF(SUMPRODUCT(--ISNUMBER(SEARCH($C6,'🔀 THE MANDELA'!$A$4:$A$23)),--('🔀 THE MANDELA'!$D$4:$D$23&lt;&gt;"NONE"))&gt;0,"YES","NO")</f>
        <v/>
      </c>
      <c r="K6">
        <f>SUMPRODUCT(--ISNUMBER(SEARCH($C6,'🔀 THE MANDELA'!$A$4:$A$23)),(('🔀 THE MANDELA'!$D$4:$D$23="LOW")*1+('🔀 THE MANDELA'!$D$4:$D$23="MEDIUM")*2+('🔀 THE MANDELA'!$D$4:$D$23="HIGH")*3))</f>
        <v/>
      </c>
      <c r="L6">
        <f>IF($J6="YES",IF($K6&gt;=2,"ACTIVE",$G6),$G6)</f>
        <v/>
      </c>
      <c r="M6">
        <f>IF(🧠 EVOLUTION!B4="FRACTURING","CASCADING",IF(H6="ACTIVE","ESCALATED","DORMANT"))</f>
        <v/>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c r="J7">
        <f>IF(SUMPRODUCT(--ISNUMBER(SEARCH($C7,'🔀 THE MANDELA'!$A$4:$A$23)),--('🔀 THE MANDELA'!$D$4:$D$23&lt;&gt;"NONE"))&gt;0,"YES","NO")</f>
        <v/>
      </c>
      <c r="K7">
        <f>SUMPRODUCT(--ISNUMBER(SEARCH($C7,'🔀 THE MANDELA'!$A$4:$A$23)),(('🔀 THE MANDELA'!$D$4:$D$23="LOW")*1+('🔀 THE MANDELA'!$D$4:$D$23="MEDIUM")*2+('🔀 THE MANDELA'!$D$4:$D$23="HIGH")*3))</f>
        <v/>
      </c>
      <c r="L7">
        <f>IF($J7="YES",IF($K7&gt;=2,"ACTIVE",$G7),$G7)</f>
        <v/>
      </c>
      <c r="M7">
        <f>IF(🧠 EVOLUTION!B4="FRACTURING","CASCADING",IF(H7="ACTIVE","ESCALATED","DORMANT"))</f>
        <v/>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c r="J8">
        <f>IF(SUMPRODUCT(--ISNUMBER(SEARCH($C8,'🔀 THE MANDELA'!$A$4:$A$23)),--('🔀 THE MANDELA'!$D$4:$D$23&lt;&gt;"NONE"))&gt;0,"YES","NO")</f>
        <v/>
      </c>
      <c r="K8">
        <f>SUMPRODUCT(--ISNUMBER(SEARCH($C8,'🔀 THE MANDELA'!$A$4:$A$23)),(('🔀 THE MANDELA'!$D$4:$D$23="LOW")*1+('🔀 THE MANDELA'!$D$4:$D$23="MEDIUM")*2+('🔀 THE MANDELA'!$D$4:$D$23="HIGH")*3))</f>
        <v/>
      </c>
      <c r="L8">
        <f>IF($J8="YES",IF($K8&gt;=2,"ACTIVE",$G8),$G8)</f>
        <v/>
      </c>
      <c r="M8">
        <f>IF(🧠 EVOLUTION!B4="FRACTURING","CASCADING",IF(H8="ACTIVE","ESCALATED","DORMANT"))</f>
        <v/>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c r="J9">
        <f>IF(SUMPRODUCT(--ISNUMBER(SEARCH($C9,'🔀 THE MANDELA'!$A$4:$A$23)),--('🔀 THE MANDELA'!$D$4:$D$23&lt;&gt;"NONE"))&gt;0,"YES","NO")</f>
        <v/>
      </c>
      <c r="K9">
        <f>SUMPRODUCT(--ISNUMBER(SEARCH($C9,'🔀 THE MANDELA'!$A$4:$A$23)),(('🔀 THE MANDELA'!$D$4:$D$23="LOW")*1+('🔀 THE MANDELA'!$D$4:$D$23="MEDIUM")*2+('🔀 THE MANDELA'!$D$4:$D$23="HIGH")*3))</f>
        <v/>
      </c>
      <c r="L9">
        <f>IF($J9="YES",IF($K9&gt;=2,"ACTIVE",$G9),$G9)</f>
        <v/>
      </c>
      <c r="M9">
        <f>IF(🧠 EVOLUTION!B4="FRACTURING","CASCADING",IF(H9="ACTIVE","ESCALATED","DORMANT"))</f>
        <v/>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c r="J10">
        <f>IF(SUMPRODUCT(--ISNUMBER(SEARCH($C10,'🔀 THE MANDELA'!$A$4:$A$23)),--('🔀 THE MANDELA'!$D$4:$D$23&lt;&gt;"NONE"))&gt;0,"YES","NO")</f>
        <v/>
      </c>
      <c r="K10">
        <f>SUMPRODUCT(--ISNUMBER(SEARCH($C10,'🔀 THE MANDELA'!$A$4:$A$23)),(('🔀 THE MANDELA'!$D$4:$D$23="LOW")*1+('🔀 THE MANDELA'!$D$4:$D$23="MEDIUM")*2+('🔀 THE MANDELA'!$D$4:$D$23="HIGH")*3))</f>
        <v/>
      </c>
      <c r="L10">
        <f>IF($J10="YES",IF($K10&gt;=2,"ACTIVE",$G10),$G10)</f>
        <v/>
      </c>
      <c r="M10">
        <f>IF(🧠 EVOLUTION!B4="FRACTURING","CASCADING",IF(H10="ACTIVE","ESCALATED","DORMANT"))</f>
        <v/>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c r="J11">
        <f>IF(SUMPRODUCT(--ISNUMBER(SEARCH($C11,'🔀 THE MANDELA'!$A$4:$A$23)),--('🔀 THE MANDELA'!$D$4:$D$23&lt;&gt;"NONE"))&gt;0,"YES","NO")</f>
        <v/>
      </c>
      <c r="K11">
        <f>SUMPRODUCT(--ISNUMBER(SEARCH($C11,'🔀 THE MANDELA'!$A$4:$A$23)),(('🔀 THE MANDELA'!$D$4:$D$23="LOW")*1+('🔀 THE MANDELA'!$D$4:$D$23="MEDIUM")*2+('🔀 THE MANDELA'!$D$4:$D$23="HIGH")*3))</f>
        <v/>
      </c>
      <c r="L11">
        <f>IF($J11="YES",IF($K11&gt;=2,"ACTIVE",$G11),$G11)</f>
        <v/>
      </c>
      <c r="M11">
        <f>IF(🧠 EVOLUTION!B4="FRACTURING","CASCADING",IF(H11="ACTIVE","ESCALATED","DORMANT"))</f>
        <v/>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c r="J12">
        <f>IF(SUMPRODUCT(--ISNUMBER(SEARCH($C12,'🔀 THE MANDELA'!$A$4:$A$23)),--('🔀 THE MANDELA'!$D$4:$D$23&lt;&gt;"NONE"))&gt;0,"YES","NO")</f>
        <v/>
      </c>
      <c r="K12">
        <f>SUMPRODUCT(--ISNUMBER(SEARCH($C12,'🔀 THE MANDELA'!$A$4:$A$23)),(('🔀 THE MANDELA'!$D$4:$D$23="LOW")*1+('🔀 THE MANDELA'!$D$4:$D$23="MEDIUM")*2+('🔀 THE MANDELA'!$D$4:$D$23="HIGH")*3))</f>
        <v/>
      </c>
      <c r="L12">
        <f>IF($J12="YES",IF($K12&gt;=2,"ACTIVE",$G12),$G12)</f>
        <v/>
      </c>
      <c r="M12">
        <f>IF(🧠 EVOLUTION!B4="FRACTURING","CASCADING",IF(H12="ACTIVE","ESCALATED","DORMANT"))</f>
        <v/>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c r="J13">
        <f>IF(SUMPRODUCT(--ISNUMBER(SEARCH($C13,'🔀 THE MANDELA'!$A$4:$A$23)),--('🔀 THE MANDELA'!$D$4:$D$23&lt;&gt;"NONE"))&gt;0,"YES","NO")</f>
        <v/>
      </c>
      <c r="K13">
        <f>SUMPRODUCT(--ISNUMBER(SEARCH($C13,'🔀 THE MANDELA'!$A$4:$A$23)),(('🔀 THE MANDELA'!$D$4:$D$23="LOW")*1+('🔀 THE MANDELA'!$D$4:$D$23="MEDIUM")*2+('🔀 THE MANDELA'!$D$4:$D$23="HIGH")*3))</f>
        <v/>
      </c>
      <c r="L13">
        <f>IF($J13="YES",IF($K13&gt;=2,"ACTIVE",$G13),$G13)</f>
        <v/>
      </c>
      <c r="M13">
        <f>IF(🧠 EVOLUTION!B4="FRACTURING","CASCADING",IF(H13="ACTIVE","ESCALATED","DORMANT"))</f>
        <v/>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c r="J14">
        <f>IF(SUMPRODUCT(--ISNUMBER(SEARCH($C14,'🔀 THE MANDELA'!$A$4:$A$23)),--('🔀 THE MANDELA'!$D$4:$D$23&lt;&gt;"NONE"))&gt;0,"YES","NO")</f>
        <v/>
      </c>
      <c r="K14">
        <f>SUMPRODUCT(--ISNUMBER(SEARCH($C14,'🔀 THE MANDELA'!$A$4:$A$23)),(('🔀 THE MANDELA'!$D$4:$D$23="LOW")*1+('🔀 THE MANDELA'!$D$4:$D$23="MEDIUM")*2+('🔀 THE MANDELA'!$D$4:$D$23="HIGH")*3))</f>
        <v/>
      </c>
      <c r="L14">
        <f>IF($J14="YES",IF($K14&gt;=2,"ACTIVE",$G14),$G14)</f>
        <v/>
      </c>
      <c r="M14">
        <f>IF(🧠 EVOLUTION!B4="FRACTURING","CASCADING",IF(H14="ACTIVE","ESCALATED","DORMANT"))</f>
        <v/>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c r="J15">
        <f>IF(SUMPRODUCT(--ISNUMBER(SEARCH($C15,'🔀 THE MANDELA'!$A$4:$A$23)),--('🔀 THE MANDELA'!$D$4:$D$23&lt;&gt;"NONE"))&gt;0,"YES","NO")</f>
        <v/>
      </c>
      <c r="K15">
        <f>SUMPRODUCT(--ISNUMBER(SEARCH($C15,'🔀 THE MANDELA'!$A$4:$A$23)),(('🔀 THE MANDELA'!$D$4:$D$23="LOW")*1+('🔀 THE MANDELA'!$D$4:$D$23="MEDIUM")*2+('🔀 THE MANDELA'!$D$4:$D$23="HIGH")*3))</f>
        <v/>
      </c>
      <c r="L15">
        <f>IF($J15="YES",IF($K15&gt;=2,"ACTIVE",$G15),$G15)</f>
        <v/>
      </c>
      <c r="M15">
        <f>IF(🧠 EVOLUTION!B4="FRACTURING","CASCADING",IF(H15="ACTIVE","ESCALATED","DORMANT"))</f>
        <v/>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c r="J16">
        <f>IF(SUMPRODUCT(--ISNUMBER(SEARCH($C16,'🔀 THE MANDELA'!$A$4:$A$23)),--('🔀 THE MANDELA'!$D$4:$D$23&lt;&gt;"NONE"))&gt;0,"YES","NO")</f>
        <v/>
      </c>
      <c r="K16">
        <f>SUMPRODUCT(--ISNUMBER(SEARCH($C16,'🔀 THE MANDELA'!$A$4:$A$23)),(('🔀 THE MANDELA'!$D$4:$D$23="LOW")*1+('🔀 THE MANDELA'!$D$4:$D$23="MEDIUM")*2+('🔀 THE MANDELA'!$D$4:$D$23="HIGH")*3))</f>
        <v/>
      </c>
      <c r="L16">
        <f>IF($J16="YES",IF($K16&gt;=2,"ACTIVE",$G16),$G16)</f>
        <v/>
      </c>
      <c r="M16">
        <f>IF(🧠 EVOLUTION!B4="FRACTURING","CASCADING",IF(H16="ACTIVE","ESCALATED","DORMANT"))</f>
        <v/>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c r="J17">
        <f>IF(SUMPRODUCT(--ISNUMBER(SEARCH($C17,'🔀 THE MANDELA'!$A$4:$A$23)),--('🔀 THE MANDELA'!$D$4:$D$23&lt;&gt;"NONE"))&gt;0,"YES","NO")</f>
        <v/>
      </c>
      <c r="K17">
        <f>SUMPRODUCT(--ISNUMBER(SEARCH($C17,'🔀 THE MANDELA'!$A$4:$A$23)),(('🔀 THE MANDELA'!$D$4:$D$23="LOW")*1+('🔀 THE MANDELA'!$D$4:$D$23="MEDIUM")*2+('🔀 THE MANDELA'!$D$4:$D$23="HIGH")*3))</f>
        <v/>
      </c>
      <c r="L17">
        <f>IF($J17="YES",IF($K17&gt;=2,"ACTIVE",$G17),$G17)</f>
        <v/>
      </c>
      <c r="M17">
        <f>IF(🧠 EVOLUTION!B4="FRACTURING","CASCADING",IF(H17="ACTIVE","ESCALATED","DORMANT"))</f>
        <v/>
      </c>
    </row>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conditionalFormatting sqref="A3:L17">
    <cfRule type="expression" priority="4" dxfId="3">
      <formula>$L3="ACTIVE"</formula>
    </cfRule>
  </conditionalFormatting>
  <conditionalFormatting sqref="M2:M17">
    <cfRule type="expression" priority="5" dxfId="8">
      <formula>$M2="CASCADING"</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7.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8.xml><?xml version="1.0" encoding="utf-8"?>
<worksheet xmlns="http://schemas.openxmlformats.org/spreadsheetml/2006/main">
  <sheetPr>
    <tabColor rgb="00EF4444"/>
    <outlinePr summaryBelow="1" summaryRight="1"/>
    <pageSetUpPr/>
  </sheetPr>
  <dimension ref="A1:D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row>
    <row r="2" ht="35" customHeight="1">
      <c r="A2" s="135" t="inlineStr">
        <is>
          <t>⚠️  WARNING: Values in the CURRENT REALITY column are live. Changing them will alter how the world describes itself. The ORIGINAL REALITY column is read-only memory. The DISCREPANCY column is the game.</t>
        </is>
      </c>
    </row>
    <row r="3" ht="22" customHeight="1">
      <c r="A3" s="147" t="inlineStr">
        <is>
          <t>ELEMENT</t>
        </is>
      </c>
      <c r="B3" s="148" t="inlineStr">
        <is>
          <t>ORIGINAL REALITY</t>
        </is>
      </c>
      <c r="C3" s="149" t="inlineStr">
        <is>
          <t>CURRENT REALITY</t>
        </is>
      </c>
      <c r="D3" s="150" t="inlineStr">
        <is>
          <t>DISCREPANCY LEVEL</t>
        </is>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row>
    <row r="24" ht="22" customHeight="1"/>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2026-03-03T12:59:57Z</dcterms:modified>
</cp:coreProperties>
</file>