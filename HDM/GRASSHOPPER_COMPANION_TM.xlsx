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QUICKSTART" sheetId="2" state="visible" r:id="rId2"/>
    <sheet xmlns:r="http://schemas.openxmlformats.org/officeDocument/2006/relationships" name="🧠 EVOLUTION" sheetId="3" state="visible" r:id="rId3"/>
    <sheet xmlns:r="http://schemas.openxmlformats.org/officeDocument/2006/relationships" name="🗺️ THE MAP" sheetId="4" state="visible" r:id="rId4"/>
    <sheet xmlns:r="http://schemas.openxmlformats.org/officeDocument/2006/relationships" name="🧩 NODE REGISTRY" sheetId="5" state="visible" r:id="rId5"/>
    <sheet xmlns:r="http://schemas.openxmlformats.org/officeDocument/2006/relationships" name="🧬 THE LEAPERS" sheetId="6" state="visible" r:id="rId6"/>
    <sheet xmlns:r="http://schemas.openxmlformats.org/officeDocument/2006/relationships" name="🔀 THE MANDELA" sheetId="7" state="visible" r:id="rId7"/>
    <sheet xmlns:r="http://schemas.openxmlformats.org/officeDocument/2006/relationships" name="🎛️ CONTROL PANEL" sheetId="8" state="visible" r:id="rId8"/>
    <sheet xmlns:r="http://schemas.openxmlformats.org/officeDocument/2006/relationships" name="❤️ EMOTIONAL CLIMATE" sheetId="9" state="visible" r:id="rId9"/>
    <sheet xmlns:r="http://schemas.openxmlformats.org/officeDocument/2006/relationships" name="🎮 OPERATOR MODE" sheetId="10" state="visible" r:id="rId10"/>
    <sheet xmlns:r="http://schemas.openxmlformats.org/officeDocument/2006/relationships" name="📖 ADAPTIVE NARRATIVE" sheetId="11" state="visible" r:id="rId11"/>
    <sheet xmlns:r="http://schemas.openxmlformats.org/officeDocument/2006/relationships" name="🖥️ HUD" sheetId="12" state="visible" r:id="rId12"/>
  </sheets>
  <definedNames/>
  <calcPr calcId="124519" fullCalcOnLoad="1"/>
</workbook>
</file>

<file path=xl/styles.xml><?xml version="1.0" encoding="utf-8"?>
<styleSheet xmlns="http://schemas.openxmlformats.org/spreadsheetml/2006/main">
  <numFmts count="0"/>
  <fonts count="51">
    <font>
      <name val="Calibri"/>
      <family val="2"/>
      <color theme="1"/>
      <sz val="11"/>
      <scheme val="minor"/>
    </font>
    <font>
      <name val="Courier New"/>
      <b val="1"/>
      <color rgb="0006B6D4"/>
      <sz val="18"/>
    </font>
    <font>
      <name val="Courier New"/>
      <b val="1"/>
      <color rgb="00C026D3"/>
      <sz val="14"/>
    </font>
    <font>
      <name val="Courier New"/>
      <color rgb="0094A3B8"/>
      <sz val="11"/>
    </font>
    <font>
      <name val="Courier New"/>
      <color rgb="000D0D0D"/>
      <sz val="10"/>
    </font>
    <font>
      <name val="Courier New"/>
      <color rgb="00F8FAFC"/>
      <sz val="11"/>
    </font>
    <font>
      <name val="Courier New"/>
      <color rgb="00D4A96A"/>
      <sz val="11"/>
    </font>
    <font>
      <name val="Courier New"/>
      <b val="1"/>
      <color rgb="00F59E0B"/>
      <sz val="11"/>
    </font>
    <font>
      <name val="Courier New"/>
      <color rgb="0084CC16"/>
      <sz val="11"/>
    </font>
    <font>
      <name val="Courier New"/>
      <b val="1"/>
      <color rgb="0006B6D4"/>
      <sz val="12"/>
    </font>
    <font>
      <name val="Courier New"/>
      <color rgb="006B21A8"/>
      <sz val="9"/>
    </font>
    <font>
      <name val="Courier New"/>
      <color rgb="00F8FAFC"/>
      <sz val="10"/>
    </font>
    <font>
      <name val="Courier New"/>
      <b val="1"/>
      <color rgb="00EF4444"/>
      <sz val="10"/>
    </font>
    <font>
      <name val="Courier New"/>
      <b val="1"/>
      <color rgb="00F59E0B"/>
      <sz val="12"/>
    </font>
    <font>
      <name val="Courier New"/>
      <b val="1"/>
      <color rgb="0006B6D4"/>
      <sz val="11"/>
    </font>
    <font>
      <name val="Courier New"/>
      <b val="1"/>
      <color rgb="00C026D3"/>
      <sz val="10"/>
    </font>
    <font>
      <name val="Courier New"/>
      <color rgb="0084CC16"/>
      <sz val="10"/>
    </font>
    <font>
      <name val="Courier New"/>
      <color rgb="0006B6D4"/>
      <sz val="11"/>
    </font>
    <font>
      <name val="Courier New"/>
      <b val="1"/>
      <color rgb="0094A3B8"/>
      <sz val="10"/>
    </font>
    <font>
      <name val="Courier New"/>
      <b val="1"/>
      <color rgb="0094A3B8"/>
      <sz val="9"/>
    </font>
    <font>
      <name val="Courier New"/>
      <color rgb="0094A3B8"/>
      <sz val="9"/>
    </font>
    <font>
      <name val="Courier New"/>
      <b val="1"/>
      <color rgb="0006B6D4"/>
      <sz val="13"/>
    </font>
    <font>
      <name val="Courier New"/>
      <b val="1"/>
      <color rgb="00EF4444"/>
      <sz val="14"/>
    </font>
    <font>
      <name val="Courier New"/>
      <b val="1"/>
      <color rgb="0094A3B8"/>
      <sz val="8"/>
    </font>
    <font>
      <name val="Courier New"/>
      <b val="1"/>
      <color rgb="00F8FAFC"/>
      <sz val="9"/>
    </font>
    <font>
      <name val="Courier New"/>
      <b val="1"/>
      <color rgb="000D0D0D"/>
      <sz val="9"/>
    </font>
    <font>
      <name val="Courier New"/>
      <b val="1"/>
      <color rgb="00F59E0B"/>
      <sz val="8"/>
    </font>
    <font>
      <name val="Courier New"/>
      <b val="1"/>
      <color rgb="00EF4444"/>
      <sz val="8"/>
    </font>
    <font>
      <name val="Courier New"/>
      <color rgb="00F8FAFC"/>
      <sz val="8"/>
    </font>
    <font>
      <name val="Courier New"/>
      <color rgb="000D0D0D"/>
      <sz val="8"/>
    </font>
    <font>
      <name val="Courier New"/>
      <b val="1"/>
      <color rgb="000D0D0D"/>
      <sz val="11"/>
    </font>
    <font>
      <name val="Courier New"/>
      <color rgb="00F59E0B"/>
      <sz val="11"/>
    </font>
    <font>
      <name val="Courier New"/>
      <b val="1"/>
      <color rgb="000D0D0D"/>
      <sz val="10"/>
    </font>
    <font>
      <name val="Courier New"/>
      <color rgb="0006B6D4"/>
      <sz val="9"/>
    </font>
    <font>
      <name val="Courier New"/>
      <color rgb="00F8FAFC"/>
      <sz val="9"/>
    </font>
    <font>
      <name val="Courier New"/>
      <color rgb="0084CC16"/>
      <sz val="9"/>
    </font>
    <font>
      <name val="Courier New"/>
      <color rgb="00EF4444"/>
      <sz val="9"/>
    </font>
    <font>
      <name val="Courier New"/>
      <i val="1"/>
      <color rgb="00F59E0B"/>
      <sz val="9"/>
    </font>
    <font>
      <name val="Courier New"/>
      <b val="1"/>
      <color rgb="00F59E0B"/>
      <sz val="13"/>
    </font>
    <font>
      <name val="Courier New"/>
      <b val="1"/>
      <color rgb="00F8FAFC"/>
      <sz val="10"/>
    </font>
    <font>
      <name val="Courier New"/>
      <color rgb="0084CC16"/>
      <sz val="8"/>
    </font>
    <font>
      <name val="Courier New"/>
      <color rgb="00F59E0B"/>
      <sz val="9"/>
    </font>
    <font>
      <name val="Courier New"/>
      <b val="1"/>
      <color rgb="00EF4444"/>
      <sz val="13"/>
    </font>
    <font>
      <name val="Courier New"/>
      <b val="1"/>
      <color rgb="00F8FAFC"/>
      <sz val="12"/>
    </font>
    <font>
      <name val="Courier New"/>
      <color rgb="00F59E0B"/>
      <sz val="8"/>
    </font>
    <font>
      <name val="Courier New"/>
      <color rgb="0094A3B8"/>
      <sz val="8"/>
    </font>
    <font>
      <name val="Courier New"/>
      <b val="1"/>
      <color rgb="00F59E0B"/>
      <sz val="9"/>
    </font>
    <font>
      <name val="Courier New"/>
      <b val="1"/>
      <color rgb="000D0D0D"/>
      <sz val="13"/>
    </font>
    <font>
      <name val="Courier New"/>
      <i val="1"/>
      <color rgb="000D0D0D"/>
      <sz val="9"/>
    </font>
    <font>
      <b val="1"/>
      <sz val="14"/>
    </font>
    <font>
      <b val="1"/>
    </font>
  </fonts>
  <fills count="21">
    <fill>
      <patternFill/>
    </fill>
    <fill>
      <patternFill patternType="gray125"/>
    </fill>
    <fill>
      <patternFill patternType="solid">
        <fgColor rgb="000D0D0D"/>
        <bgColor rgb="000D0D0D"/>
      </patternFill>
    </fill>
    <fill>
      <patternFill patternType="solid">
        <fgColor rgb="001A0533"/>
        <bgColor rgb="001A0533"/>
      </patternFill>
    </fill>
    <fill>
      <patternFill patternType="solid">
        <fgColor rgb="006B21A8"/>
        <bgColor rgb="006B21A8"/>
      </patternFill>
    </fill>
    <fill>
      <patternFill patternType="solid">
        <fgColor rgb="00374151"/>
        <bgColor rgb="00374151"/>
      </patternFill>
    </fill>
    <fill>
      <patternFill patternType="solid">
        <fgColor rgb="00C026D3"/>
        <bgColor rgb="00C026D3"/>
      </patternFill>
    </fill>
    <fill>
      <patternFill patternType="solid">
        <fgColor rgb="0006B6D4"/>
        <bgColor rgb="0006B6D4"/>
      </patternFill>
    </fill>
    <fill>
      <patternFill patternType="solid">
        <fgColor rgb="000F766E"/>
        <bgColor rgb="000F766E"/>
      </patternFill>
    </fill>
    <fill>
      <patternFill patternType="solid">
        <fgColor rgb="000E7490"/>
        <bgColor rgb="000E7490"/>
      </patternFill>
    </fill>
    <fill>
      <patternFill patternType="solid">
        <fgColor rgb="00F59E0B"/>
        <bgColor rgb="00F59E0B"/>
      </patternFill>
    </fill>
    <fill>
      <patternFill patternType="solid">
        <fgColor rgb="00C2410C"/>
        <bgColor rgb="00C2410C"/>
      </patternFill>
    </fill>
    <fill>
      <patternFill patternType="solid">
        <fgColor rgb="00EF4444"/>
        <bgColor rgb="00EF4444"/>
      </patternFill>
    </fill>
    <fill>
      <patternFill patternType="solid">
        <fgColor rgb="00120B2E"/>
        <bgColor rgb="00120B2E"/>
      </patternFill>
    </fill>
    <fill>
      <patternFill patternType="solid">
        <fgColor rgb="00D4A96A"/>
        <bgColor rgb="00D4A96A"/>
      </patternFill>
    </fill>
    <fill>
      <patternFill patternType="solid">
        <fgColor rgb="0084CC16"/>
        <bgColor rgb="0084CC16"/>
      </patternFill>
    </fill>
    <fill>
      <patternFill patternType="solid">
        <fgColor rgb="00EC4899"/>
        <bgColor rgb="00EC4899"/>
      </patternFill>
    </fill>
    <fill>
      <patternFill patternType="solid">
        <fgColor rgb="001E1B4B"/>
        <bgColor rgb="001E1B4B"/>
      </patternFill>
    </fill>
    <fill>
      <patternFill patternType="solid">
        <fgColor rgb="0016A34A"/>
        <bgColor rgb="0016A34A"/>
      </patternFill>
    </fill>
    <fill>
      <patternFill patternType="solid">
        <fgColor rgb="001F1F1F"/>
        <bgColor rgb="001F1F1F"/>
      </patternFill>
    </fill>
    <fill>
      <patternFill patternType="solid">
        <fgColor rgb="0000FF66"/>
        <bgColor rgb="0000FF66"/>
      </patternFill>
    </fill>
  </fills>
  <borders count="4">
    <border>
      <left/>
      <right/>
      <top/>
      <bottom/>
      <diagonal/>
    </border>
    <border>
      <left style="medium">
        <color rgb="000D0D0D"/>
      </left>
      <right style="medium">
        <color rgb="000D0D0D"/>
      </right>
      <top style="medium">
        <color rgb="000D0D0D"/>
      </top>
      <bottom style="medium">
        <color rgb="000D0D0D"/>
      </bottom>
    </border>
    <border>
      <left style="medium">
        <color rgb="006B21A8"/>
      </left>
      <right style="medium">
        <color rgb="006B21A8"/>
      </right>
      <top style="medium">
        <color rgb="006B21A8"/>
      </top>
      <bottom style="medium">
        <color rgb="006B21A8"/>
      </bottom>
    </border>
    <border>
      <left style="thin">
        <color rgb="006B21A8"/>
      </left>
      <right style="thin">
        <color rgb="006B21A8"/>
      </right>
      <top style="thin">
        <color rgb="006B21A8"/>
      </top>
      <bottom style="thin">
        <color rgb="006B21A8"/>
      </bottom>
    </border>
  </borders>
  <cellStyleXfs count="1">
    <xf numFmtId="0" fontId="0" fillId="0" borderId="0"/>
  </cellStyleXfs>
  <cellXfs count="156">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2" borderId="0" applyAlignment="1" pivotButton="0" quotePrefix="0" xfId="0">
      <alignment horizontal="center" vertical="center" wrapText="1"/>
    </xf>
    <xf numFmtId="0" fontId="4" fillId="2" borderId="0" applyAlignment="1" pivotButton="0" quotePrefix="0" xfId="0">
      <alignment horizontal="center" vertical="center" wrapText="1"/>
    </xf>
    <xf numFmtId="0" fontId="5" fillId="2" borderId="0" applyAlignment="1" pivotButton="0" quotePrefix="0" xfId="0">
      <alignment horizontal="center" vertical="center" wrapText="1"/>
    </xf>
    <xf numFmtId="0" fontId="6" fillId="2" borderId="0" applyAlignment="1" pivotButton="0" quotePrefix="0" xfId="0">
      <alignment horizontal="center" vertical="center" wrapText="1"/>
    </xf>
    <xf numFmtId="0" fontId="7"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1" fillId="2" borderId="0" applyAlignment="1" pivotButton="0" quotePrefix="0" xfId="0">
      <alignment horizontal="center" vertical="center" wrapText="1"/>
    </xf>
    <xf numFmtId="0" fontId="12" fillId="2" borderId="0" applyAlignment="1" pivotButton="0" quotePrefix="0" xfId="0">
      <alignment horizontal="center" vertical="center" wrapText="1"/>
    </xf>
    <xf numFmtId="0" fontId="13" fillId="2" borderId="0" applyAlignment="1" pivotButton="0" quotePrefix="0" xfId="0">
      <alignment horizontal="center" vertical="center" wrapText="1"/>
    </xf>
    <xf numFmtId="0" fontId="14" fillId="2" borderId="0" applyAlignment="1" pivotButton="0" quotePrefix="0" xfId="0">
      <alignment horizontal="center"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center" vertical="center"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0" fillId="2" borderId="0" applyAlignment="1" pivotButton="0" quotePrefix="0" xfId="0">
      <alignment horizontal="center" vertical="center" wrapText="1"/>
    </xf>
    <xf numFmtId="0" fontId="21" fillId="2" borderId="0" applyAlignment="1" pivotButton="0" quotePrefix="0" xfId="0">
      <alignment horizontal="center" vertical="center" wrapText="1"/>
    </xf>
    <xf numFmtId="0" fontId="7" fillId="3" borderId="0" applyAlignment="1" pivotButton="0" quotePrefix="0" xfId="0">
      <alignment horizontal="center" vertical="center" wrapText="1"/>
    </xf>
    <xf numFmtId="0" fontId="22" fillId="4" borderId="0" applyAlignment="1" pivotButton="0" quotePrefix="0" xfId="0">
      <alignment horizontal="center" vertical="center" wrapText="1"/>
    </xf>
    <xf numFmtId="0" fontId="23" fillId="5" borderId="0" applyAlignment="1" pivotButton="0" quotePrefix="0" xfId="0">
      <alignment horizontal="center" vertical="center" wrapText="1"/>
    </xf>
    <xf numFmtId="0" fontId="24" fillId="4" borderId="1" applyAlignment="1" pivotButton="0" quotePrefix="0" xfId="0">
      <alignment horizontal="center" vertical="center" wrapText="1"/>
    </xf>
    <xf numFmtId="0" fontId="24" fillId="6" borderId="1" applyAlignment="1" pivotButton="0" quotePrefix="0" xfId="0">
      <alignment horizontal="center" vertical="center" wrapText="1"/>
    </xf>
    <xf numFmtId="0" fontId="24" fillId="7" borderId="1" applyAlignment="1" pivotButton="0" quotePrefix="0" xfId="0">
      <alignment horizontal="center" vertical="center" wrapText="1"/>
    </xf>
    <xf numFmtId="0" fontId="24" fillId="8" borderId="1" applyAlignment="1" pivotButton="0" quotePrefix="0" xfId="0">
      <alignment horizontal="center" vertical="center" wrapText="1"/>
    </xf>
    <xf numFmtId="0" fontId="24" fillId="9" borderId="1" applyAlignment="1" pivotButton="0" quotePrefix="0" xfId="0">
      <alignment horizontal="center" vertical="center" wrapText="1"/>
    </xf>
    <xf numFmtId="0" fontId="25" fillId="10"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12" borderId="1" applyAlignment="1" pivotButton="0" quotePrefix="0" xfId="0">
      <alignment horizontal="center" vertical="center" wrapText="1"/>
    </xf>
    <xf numFmtId="0" fontId="26" fillId="5" borderId="2" applyAlignment="1" pivotButton="0" quotePrefix="0" xfId="0">
      <alignment horizontal="center" vertical="center" wrapText="1"/>
    </xf>
    <xf numFmtId="0" fontId="24" fillId="5" borderId="3" applyAlignment="1" pivotButton="0" quotePrefix="0" xfId="0">
      <alignment horizontal="center" vertical="center" wrapText="1"/>
    </xf>
    <xf numFmtId="0" fontId="24" fillId="11" borderId="3" applyAlignment="1" pivotButton="0" quotePrefix="0" xfId="0">
      <alignment horizontal="center" vertical="center" wrapText="1"/>
    </xf>
    <xf numFmtId="0" fontId="24" fillId="4" borderId="3" applyAlignment="1" pivotButton="0" quotePrefix="0" xfId="0">
      <alignment horizontal="center" vertical="center" wrapText="1"/>
    </xf>
    <xf numFmtId="0" fontId="24" fillId="3" borderId="3" applyAlignment="1" pivotButton="0" quotePrefix="0" xfId="0">
      <alignment horizontal="center" vertical="center" wrapText="1"/>
    </xf>
    <xf numFmtId="0" fontId="24" fillId="9" borderId="3" applyAlignment="1" pivotButton="0" quotePrefix="0" xfId="0">
      <alignment horizontal="center" vertical="center" wrapText="1"/>
    </xf>
    <xf numFmtId="0" fontId="26" fillId="3" borderId="2" applyAlignment="1" pivotButton="0" quotePrefix="0" xfId="0">
      <alignment horizontal="center" vertical="center" wrapText="1"/>
    </xf>
    <xf numFmtId="0" fontId="24" fillId="8" borderId="3" applyAlignment="1" pivotButton="0" quotePrefix="0" xfId="0">
      <alignment horizontal="center" vertical="center" wrapText="1"/>
    </xf>
    <xf numFmtId="0" fontId="24" fillId="6" borderId="3" applyAlignment="1" pivotButton="0" quotePrefix="0" xfId="0">
      <alignment horizontal="center" vertical="center" wrapText="1"/>
    </xf>
    <xf numFmtId="0" fontId="26" fillId="13" borderId="2" applyAlignment="1" pivotButton="0" quotePrefix="0" xfId="0">
      <alignment horizontal="center" vertical="center" wrapText="1"/>
    </xf>
    <xf numFmtId="0" fontId="25" fillId="7" borderId="3" applyAlignment="1" pivotButton="0" quotePrefix="0" xfId="0">
      <alignment horizontal="center" vertical="center" wrapText="1"/>
    </xf>
    <xf numFmtId="0" fontId="25" fillId="14" borderId="3" applyAlignment="1" pivotButton="0" quotePrefix="0" xfId="0">
      <alignment horizontal="center" vertical="center" wrapText="1"/>
    </xf>
    <xf numFmtId="0" fontId="25" fillId="15" borderId="3" applyAlignment="1" pivotButton="0" quotePrefix="0" xfId="0">
      <alignment horizontal="center" vertical="center" wrapText="1"/>
    </xf>
    <xf numFmtId="0" fontId="24" fillId="12" borderId="3" applyAlignment="1" pivotButton="0" quotePrefix="0" xfId="0">
      <alignment horizontal="center" vertical="center" wrapText="1"/>
    </xf>
    <xf numFmtId="0" fontId="24" fillId="16" borderId="3" applyAlignment="1" pivotButton="0" quotePrefix="0" xfId="0">
      <alignment horizontal="center" vertical="center" wrapText="1"/>
    </xf>
    <xf numFmtId="0" fontId="27" fillId="9" borderId="2" applyAlignment="1" pivotButton="0" quotePrefix="0" xfId="0">
      <alignment horizontal="center" vertical="center" wrapText="1"/>
    </xf>
    <xf numFmtId="0" fontId="24" fillId="2" borderId="3" applyAlignment="1" pivotButton="0" quotePrefix="0" xfId="0">
      <alignment horizontal="center" vertical="center" wrapText="1"/>
    </xf>
    <xf numFmtId="0" fontId="18" fillId="17" borderId="0" applyAlignment="1" pivotButton="0" quotePrefix="0" xfId="0">
      <alignment horizontal="center" vertical="center" wrapText="1"/>
    </xf>
    <xf numFmtId="0" fontId="28" fillId="11" borderId="3" applyAlignment="1" pivotButton="0" quotePrefix="0" xfId="0">
      <alignment horizontal="center" vertical="center" wrapText="1"/>
    </xf>
    <xf numFmtId="0" fontId="28" fillId="4" borderId="3" applyAlignment="1" pivotButton="0" quotePrefix="0" xfId="0">
      <alignment horizontal="center" vertical="center" wrapText="1"/>
    </xf>
    <xf numFmtId="0" fontId="28" fillId="8" borderId="3" applyAlignment="1" pivotButton="0" quotePrefix="0" xfId="0">
      <alignment horizontal="center" vertical="center" wrapText="1"/>
    </xf>
    <xf numFmtId="0" fontId="28" fillId="9" borderId="3" applyAlignment="1" pivotButton="0" quotePrefix="0" xfId="0">
      <alignment horizontal="center" vertical="center" wrapText="1"/>
    </xf>
    <xf numFmtId="0" fontId="28" fillId="5" borderId="3" applyAlignment="1" pivotButton="0" quotePrefix="0" xfId="0">
      <alignment horizontal="center" vertical="center" wrapText="1"/>
    </xf>
    <xf numFmtId="0" fontId="28" fillId="6" borderId="3" applyAlignment="1" pivotButton="0" quotePrefix="0" xfId="0">
      <alignment horizontal="center" vertical="center" wrapText="1"/>
    </xf>
    <xf numFmtId="0" fontId="29" fillId="14" borderId="3" applyAlignment="1" pivotButton="0" quotePrefix="0" xfId="0">
      <alignment horizontal="center" vertical="center" wrapText="1"/>
    </xf>
    <xf numFmtId="0" fontId="28" fillId="3" borderId="3" applyAlignment="1" pivotButton="0" quotePrefix="0" xfId="0">
      <alignment horizontal="center" vertical="center" wrapText="1"/>
    </xf>
    <xf numFmtId="0" fontId="28" fillId="2" borderId="3" applyAlignment="1" pivotButton="0" quotePrefix="0" xfId="0">
      <alignment horizontal="center" vertical="center" wrapText="1"/>
    </xf>
    <xf numFmtId="0" fontId="24" fillId="7" borderId="2" applyAlignment="1" pivotButton="0" quotePrefix="0" xfId="0">
      <alignment horizontal="center" vertical="center" wrapText="1"/>
    </xf>
    <xf numFmtId="0" fontId="25" fillId="10" borderId="2" applyAlignment="1" pivotButton="0" quotePrefix="0" xfId="0">
      <alignment horizontal="center" vertical="center" wrapText="1"/>
    </xf>
    <xf numFmtId="0" fontId="25" fillId="15" borderId="2" applyAlignment="1" pivotButton="0" quotePrefix="0" xfId="0">
      <alignment horizontal="center" vertical="center" wrapText="1"/>
    </xf>
    <xf numFmtId="0" fontId="24" fillId="8" borderId="2" applyAlignment="1" pivotButton="0" quotePrefix="0" xfId="0">
      <alignment horizontal="center" vertical="center" wrapText="1"/>
    </xf>
    <xf numFmtId="0" fontId="24" fillId="6" borderId="2" applyAlignment="1" pivotButton="0" quotePrefix="0" xfId="0">
      <alignment horizontal="center" vertical="center" wrapText="1"/>
    </xf>
    <xf numFmtId="0" fontId="24" fillId="9" borderId="2" applyAlignment="1" pivotButton="0" quotePrefix="0" xfId="0">
      <alignment horizontal="center" vertical="center" wrapText="1"/>
    </xf>
    <xf numFmtId="0" fontId="24" fillId="12" borderId="2" applyAlignment="1" pivotButton="0" quotePrefix="0" xfId="0">
      <alignment horizontal="center" vertical="center" wrapText="1"/>
    </xf>
    <xf numFmtId="0" fontId="24" fillId="4" borderId="2" applyAlignment="1" pivotButton="0" quotePrefix="0" xfId="0">
      <alignment horizontal="center" vertical="center" wrapText="1"/>
    </xf>
    <xf numFmtId="0" fontId="24" fillId="5" borderId="2" applyAlignment="1" pivotButton="0" quotePrefix="0" xfId="0">
      <alignment horizontal="center" vertical="center" wrapText="1"/>
    </xf>
    <xf numFmtId="0" fontId="30" fillId="8" borderId="3" applyAlignment="1" pivotButton="0" quotePrefix="0" xfId="0">
      <alignment horizontal="left" vertical="top" wrapText="1"/>
    </xf>
    <xf numFmtId="0" fontId="31" fillId="2" borderId="3" applyAlignment="1" pivotButton="0" quotePrefix="0" xfId="0">
      <alignment horizontal="left" vertical="top" wrapText="1"/>
    </xf>
    <xf numFmtId="0" fontId="32" fillId="8" borderId="3" applyAlignment="1" pivotButton="0" quotePrefix="0" xfId="0">
      <alignment horizontal="left" vertical="top" wrapText="1"/>
    </xf>
    <xf numFmtId="0" fontId="33" fillId="2" borderId="3" applyAlignment="1" pivotButton="0" quotePrefix="0" xfId="0">
      <alignment horizontal="left" vertical="top" wrapText="1"/>
    </xf>
    <xf numFmtId="0" fontId="34" fillId="2" borderId="3" applyAlignment="1" pivotButton="0" quotePrefix="0" xfId="0">
      <alignment horizontal="left" vertical="top" wrapText="1"/>
    </xf>
    <xf numFmtId="0" fontId="35" fillId="2" borderId="3" applyAlignment="1" pivotButton="0" quotePrefix="0" xfId="0">
      <alignment horizontal="left" vertical="top" wrapText="1"/>
    </xf>
    <xf numFmtId="0" fontId="36" fillId="2" borderId="3" applyAlignment="1" pivotButton="0" quotePrefix="0" xfId="0">
      <alignment horizontal="left" vertical="top" wrapText="1"/>
    </xf>
    <xf numFmtId="0" fontId="25" fillId="8" borderId="3" applyAlignment="1" pivotButton="0" quotePrefix="0" xfId="0">
      <alignment horizontal="left" vertical="top" wrapText="1"/>
    </xf>
    <xf numFmtId="0" fontId="20" fillId="2" borderId="3" applyAlignment="1" pivotButton="0" quotePrefix="0" xfId="0">
      <alignment horizontal="left" vertical="top" wrapText="1"/>
    </xf>
    <xf numFmtId="0" fontId="30" fillId="4" borderId="3" applyAlignment="1" pivotButton="0" quotePrefix="0" xfId="0">
      <alignment horizontal="left" vertical="top" wrapText="1"/>
    </xf>
    <xf numFmtId="0" fontId="31" fillId="3" borderId="3" applyAlignment="1" pivotButton="0" quotePrefix="0" xfId="0">
      <alignment horizontal="left" vertical="top" wrapText="1"/>
    </xf>
    <xf numFmtId="0" fontId="32" fillId="4" borderId="3" applyAlignment="1" pivotButton="0" quotePrefix="0" xfId="0">
      <alignment horizontal="left" vertical="top" wrapText="1"/>
    </xf>
    <xf numFmtId="0" fontId="33" fillId="3" borderId="3" applyAlignment="1" pivotButton="0" quotePrefix="0" xfId="0">
      <alignment horizontal="left" vertical="top" wrapText="1"/>
    </xf>
    <xf numFmtId="0" fontId="34" fillId="3" borderId="3" applyAlignment="1" pivotButton="0" quotePrefix="0" xfId="0">
      <alignment horizontal="left" vertical="top" wrapText="1"/>
    </xf>
    <xf numFmtId="0" fontId="35" fillId="3" borderId="3" applyAlignment="1" pivotButton="0" quotePrefix="0" xfId="0">
      <alignment horizontal="left" vertical="top" wrapText="1"/>
    </xf>
    <xf numFmtId="0" fontId="36" fillId="3" borderId="3" applyAlignment="1" pivotButton="0" quotePrefix="0" xfId="0">
      <alignment horizontal="left" vertical="top" wrapText="1"/>
    </xf>
    <xf numFmtId="0" fontId="25" fillId="4" borderId="3" applyAlignment="1" pivotButton="0" quotePrefix="0" xfId="0">
      <alignment horizontal="left" vertical="top" wrapText="1"/>
    </xf>
    <xf numFmtId="0" fontId="20" fillId="3" borderId="3" applyAlignment="1" pivotButton="0" quotePrefix="0" xfId="0">
      <alignment horizontal="left" vertical="top" wrapText="1"/>
    </xf>
    <xf numFmtId="0" fontId="30" fillId="6" borderId="3" applyAlignment="1" pivotButton="0" quotePrefix="0" xfId="0">
      <alignment horizontal="left" vertical="top" wrapText="1"/>
    </xf>
    <xf numFmtId="0" fontId="32" fillId="6" borderId="3" applyAlignment="1" pivotButton="0" quotePrefix="0" xfId="0">
      <alignment horizontal="left" vertical="top" wrapText="1"/>
    </xf>
    <xf numFmtId="0" fontId="25" fillId="6" borderId="3" applyAlignment="1" pivotButton="0" quotePrefix="0" xfId="0">
      <alignment horizontal="left" vertical="top" wrapText="1"/>
    </xf>
    <xf numFmtId="0" fontId="30" fillId="15" borderId="3" applyAlignment="1" pivotButton="0" quotePrefix="0" xfId="0">
      <alignment horizontal="left" vertical="top" wrapText="1"/>
    </xf>
    <xf numFmtId="0" fontId="32" fillId="15" borderId="3" applyAlignment="1" pivotButton="0" quotePrefix="0" xfId="0">
      <alignment horizontal="left" vertical="top" wrapText="1"/>
    </xf>
    <xf numFmtId="0" fontId="25" fillId="15" borderId="3" applyAlignment="1" pivotButton="0" quotePrefix="0" xfId="0">
      <alignment horizontal="left" vertical="top" wrapText="1"/>
    </xf>
    <xf numFmtId="0" fontId="30" fillId="16" borderId="3" applyAlignment="1" pivotButton="0" quotePrefix="0" xfId="0">
      <alignment horizontal="left" vertical="top" wrapText="1"/>
    </xf>
    <xf numFmtId="0" fontId="32" fillId="16" borderId="3" applyAlignment="1" pivotButton="0" quotePrefix="0" xfId="0">
      <alignment horizontal="left" vertical="top" wrapText="1"/>
    </xf>
    <xf numFmtId="0" fontId="25" fillId="16" borderId="3" applyAlignment="1" pivotButton="0" quotePrefix="0" xfId="0">
      <alignment horizontal="left" vertical="top" wrapText="1"/>
    </xf>
    <xf numFmtId="0" fontId="37" fillId="17" borderId="0" applyAlignment="1" pivotButton="0" quotePrefix="0" xfId="0">
      <alignment horizontal="left" vertical="top" wrapText="1"/>
    </xf>
    <xf numFmtId="0" fontId="38" fillId="2" borderId="0" applyAlignment="1" pivotButton="0" quotePrefix="0" xfId="0">
      <alignment horizontal="center" vertical="center" wrapText="1"/>
    </xf>
    <xf numFmtId="0" fontId="24" fillId="11" borderId="2" applyAlignment="1" pivotButton="0" quotePrefix="0" xfId="0">
      <alignment horizontal="center" vertical="center" wrapText="1"/>
    </xf>
    <xf numFmtId="0" fontId="39" fillId="11" borderId="3" applyAlignment="1" pivotButton="0" quotePrefix="0" xfId="0">
      <alignment horizontal="left" vertical="top" wrapText="1"/>
    </xf>
    <xf numFmtId="0" fontId="25" fillId="11" borderId="3" applyAlignment="1" pivotButton="0" quotePrefix="0" xfId="0">
      <alignment horizontal="left" vertical="top" wrapText="1"/>
    </xf>
    <xf numFmtId="0" fontId="28" fillId="3" borderId="3" applyAlignment="1" pivotButton="0" quotePrefix="0" xfId="0">
      <alignment horizontal="left" vertical="top" wrapText="1"/>
    </xf>
    <xf numFmtId="0" fontId="23" fillId="3" borderId="3" applyAlignment="1" pivotButton="0" quotePrefix="0" xfId="0">
      <alignment horizontal="left" vertical="top" wrapText="1"/>
    </xf>
    <xf numFmtId="0" fontId="40" fillId="3" borderId="3" applyAlignment="1" pivotButton="0" quotePrefix="0" xfId="0">
      <alignment horizontal="left" vertical="top" wrapText="1"/>
    </xf>
    <xf numFmtId="0" fontId="41" fillId="3" borderId="3" applyAlignment="1" pivotButton="0" quotePrefix="0" xfId="0">
      <alignment horizontal="left" vertical="top" wrapText="1"/>
    </xf>
    <xf numFmtId="0" fontId="39" fillId="5" borderId="3" applyAlignment="1" pivotButton="0" quotePrefix="0" xfId="0">
      <alignment horizontal="left" vertical="top" wrapText="1"/>
    </xf>
    <xf numFmtId="0" fontId="24" fillId="5" borderId="3" applyAlignment="1" pivotButton="0" quotePrefix="0" xfId="0">
      <alignment horizontal="left" vertical="top" wrapText="1"/>
    </xf>
    <xf numFmtId="0" fontId="28" fillId="2" borderId="3" applyAlignment="1" pivotButton="0" quotePrefix="0" xfId="0">
      <alignment horizontal="left" vertical="top" wrapText="1"/>
    </xf>
    <xf numFmtId="0" fontId="23" fillId="2" borderId="3" applyAlignment="1" pivotButton="0" quotePrefix="0" xfId="0">
      <alignment horizontal="left" vertical="top" wrapText="1"/>
    </xf>
    <xf numFmtId="0" fontId="40" fillId="2" borderId="3" applyAlignment="1" pivotButton="0" quotePrefix="0" xfId="0">
      <alignment horizontal="left" vertical="top" wrapText="1"/>
    </xf>
    <xf numFmtId="0" fontId="41" fillId="2" borderId="3" applyAlignment="1" pivotButton="0" quotePrefix="0" xfId="0">
      <alignment horizontal="left" vertical="top" wrapText="1"/>
    </xf>
    <xf numFmtId="0" fontId="39" fillId="4" borderId="3" applyAlignment="1" pivotButton="0" quotePrefix="0" xfId="0">
      <alignment horizontal="left" vertical="top" wrapText="1"/>
    </xf>
    <xf numFmtId="0" fontId="24" fillId="4" borderId="3" applyAlignment="1" pivotButton="0" quotePrefix="0" xfId="0">
      <alignment horizontal="left" vertical="top" wrapText="1"/>
    </xf>
    <xf numFmtId="0" fontId="39" fillId="3" borderId="3" applyAlignment="1" pivotButton="0" quotePrefix="0" xfId="0">
      <alignment horizontal="left" vertical="top" wrapText="1"/>
    </xf>
    <xf numFmtId="0" fontId="39" fillId="6" borderId="3" applyAlignment="1" pivotButton="0" quotePrefix="0" xfId="0">
      <alignment horizontal="left" vertical="top" wrapText="1"/>
    </xf>
    <xf numFmtId="0" fontId="32" fillId="14" borderId="3" applyAlignment="1" pivotButton="0" quotePrefix="0" xfId="0">
      <alignment horizontal="left" vertical="top" wrapText="1"/>
    </xf>
    <xf numFmtId="0" fontId="25" fillId="14" borderId="3" applyAlignment="1" pivotButton="0" quotePrefix="0" xfId="0">
      <alignment horizontal="left" vertical="top" wrapText="1"/>
    </xf>
    <xf numFmtId="0" fontId="42" fillId="2" borderId="0" applyAlignment="1" pivotButton="0" quotePrefix="0" xfId="0">
      <alignment horizontal="center" vertical="center" wrapText="1"/>
    </xf>
    <xf numFmtId="0" fontId="24" fillId="3" borderId="2" applyAlignment="1" pivotButton="0" quotePrefix="0" xfId="0">
      <alignment horizontal="center" vertical="center" wrapText="1"/>
    </xf>
    <xf numFmtId="0" fontId="25" fillId="14" borderId="2" applyAlignment="1" pivotButton="0" quotePrefix="0" xfId="0">
      <alignment horizontal="center" vertical="center" wrapText="1"/>
    </xf>
    <xf numFmtId="0" fontId="43" fillId="12" borderId="3" applyAlignment="1" pivotButton="0" quotePrefix="0" xfId="0">
      <alignment horizontal="left" vertical="top" wrapText="1"/>
    </xf>
    <xf numFmtId="0" fontId="44" fillId="3" borderId="3" applyAlignment="1" pivotButton="0" quotePrefix="0" xfId="0">
      <alignment horizontal="left" vertical="top" wrapText="1"/>
    </xf>
    <xf numFmtId="0" fontId="32" fillId="12" borderId="3" applyAlignment="1" pivotButton="0" quotePrefix="0" xfId="0">
      <alignment horizontal="left" vertical="top" wrapText="1"/>
    </xf>
    <xf numFmtId="0" fontId="45" fillId="3" borderId="3" applyAlignment="1" pivotButton="0" quotePrefix="0" xfId="0">
      <alignment horizontal="left" vertical="top" wrapText="1"/>
    </xf>
    <xf numFmtId="0" fontId="28" fillId="5" borderId="3" applyAlignment="1" pivotButton="0" quotePrefix="0" xfId="0">
      <alignment horizontal="left" vertical="top" wrapText="1"/>
    </xf>
    <xf numFmtId="0" fontId="44" fillId="2" borderId="3" applyAlignment="1" pivotButton="0" quotePrefix="0" xfId="0">
      <alignment horizontal="left" vertical="top" wrapText="1"/>
    </xf>
    <xf numFmtId="0" fontId="45" fillId="2" borderId="3" applyAlignment="1" pivotButton="0" quotePrefix="0" xfId="0">
      <alignment horizontal="left" vertical="top" wrapText="1"/>
    </xf>
    <xf numFmtId="0" fontId="32" fillId="10" borderId="3" applyAlignment="1" pivotButton="0" quotePrefix="0" xfId="0">
      <alignment horizontal="left" vertical="top" wrapText="1"/>
    </xf>
    <xf numFmtId="0" fontId="32" fillId="10" borderId="2" applyAlignment="1" pivotButton="0" quotePrefix="0" xfId="0">
      <alignment horizontal="center" vertical="center" wrapText="1"/>
    </xf>
    <xf numFmtId="0" fontId="39" fillId="8" borderId="2" applyAlignment="1" pivotButton="0" quotePrefix="0" xfId="0">
      <alignment horizontal="center" vertical="center" wrapText="1"/>
    </xf>
    <xf numFmtId="0" fontId="39" fillId="3" borderId="2" applyAlignment="1" pivotButton="0" quotePrefix="0" xfId="0">
      <alignment horizontal="center" vertical="center" wrapText="1"/>
    </xf>
    <xf numFmtId="0" fontId="46" fillId="2" borderId="3" applyAlignment="1" pivotButton="0" quotePrefix="0" xfId="0">
      <alignment horizontal="left" vertical="top" wrapText="1"/>
    </xf>
    <xf numFmtId="0" fontId="46" fillId="3" borderId="3" applyAlignment="1" pivotButton="0" quotePrefix="0" xfId="0">
      <alignment horizontal="left" vertical="top" wrapText="1"/>
    </xf>
    <xf numFmtId="0" fontId="47" fillId="12" borderId="0" applyAlignment="1" pivotButton="0" quotePrefix="0" xfId="0">
      <alignment horizontal="center" vertical="center" wrapText="1"/>
    </xf>
    <xf numFmtId="0" fontId="37" fillId="3" borderId="0" applyAlignment="1" pivotButton="0" quotePrefix="0" xfId="0">
      <alignment horizontal="left" vertical="top" wrapText="1"/>
    </xf>
    <xf numFmtId="0" fontId="39" fillId="12" borderId="2" applyAlignment="1" pivotButton="0" quotePrefix="0" xfId="0">
      <alignment horizontal="center" vertical="center" wrapText="1"/>
    </xf>
    <xf numFmtId="0" fontId="39" fillId="6" borderId="2" applyAlignment="1" pivotButton="0" quotePrefix="0" xfId="0">
      <alignment horizontal="center" vertical="center" wrapText="1"/>
    </xf>
    <xf numFmtId="0" fontId="34" fillId="8" borderId="3" applyAlignment="1" pivotButton="0" quotePrefix="0" xfId="0">
      <alignment horizontal="left" vertical="top" wrapText="1"/>
    </xf>
    <xf numFmtId="0" fontId="25" fillId="18" borderId="3" applyAlignment="1" pivotButton="0" quotePrefix="0" xfId="0">
      <alignment horizontal="center" vertical="center" wrapText="1"/>
    </xf>
    <xf numFmtId="0" fontId="48" fillId="12" borderId="0" applyAlignment="1" pivotButton="0" quotePrefix="0" xfId="0">
      <alignment horizontal="left" vertical="top" wrapText="1"/>
    </xf>
    <xf numFmtId="0" fontId="49" fillId="0" borderId="0" pivotButton="0" quotePrefix="0" xfId="0"/>
    <xf numFmtId="0" fontId="50" fillId="0" borderId="0" applyAlignment="1" pivotButton="0" quotePrefix="0" xfId="0">
      <alignment vertical="top" wrapText="1"/>
    </xf>
    <xf numFmtId="0" fontId="0" fillId="0" borderId="0" applyAlignment="1" pivotButton="0" quotePrefix="0" xfId="0">
      <alignment vertical="top" wrapText="1"/>
    </xf>
    <xf numFmtId="0" fontId="50" fillId="3" borderId="0" applyAlignment="1" pivotButton="0" quotePrefix="0" xfId="0">
      <alignment horizontal="center" vertical="center" wrapText="1"/>
    </xf>
    <xf numFmtId="0" fontId="50" fillId="4" borderId="0" applyAlignment="1" pivotButton="0" quotePrefix="0" xfId="0">
      <alignment horizontal="center" vertical="center" wrapText="1"/>
    </xf>
    <xf numFmtId="0" fontId="50" fillId="0" borderId="0" applyAlignment="1" pivotButton="0" quotePrefix="0" xfId="0">
      <alignment horizontal="center" vertical="center"/>
    </xf>
    <xf numFmtId="0" fontId="50" fillId="12" borderId="2" applyAlignment="1" pivotButton="0" quotePrefix="0" xfId="0">
      <alignment horizontal="center"/>
    </xf>
    <xf numFmtId="0" fontId="50" fillId="8" borderId="2" applyAlignment="1" pivotButton="0" quotePrefix="0" xfId="0">
      <alignment horizontal="center"/>
    </xf>
    <xf numFmtId="0" fontId="50" fillId="6" borderId="2" applyAlignment="1" pivotButton="0" quotePrefix="0" xfId="0">
      <alignment horizontal="center"/>
    </xf>
    <xf numFmtId="0" fontId="50" fillId="10" borderId="2" applyAlignment="1" pivotButton="0" quotePrefix="0" xfId="0">
      <alignment horizontal="center"/>
    </xf>
    <xf numFmtId="0" fontId="50" fillId="0" borderId="0" pivotButton="0" quotePrefix="0" xfId="0"/>
    <xf numFmtId="0" fontId="50" fillId="19" borderId="0" pivotButton="0" quotePrefix="0" xfId="0"/>
    <xf numFmtId="0" fontId="0" fillId="19" borderId="0" pivotButton="0" quotePrefix="0" xfId="0"/>
    <xf numFmtId="0" fontId="50" fillId="19" borderId="0" applyAlignment="1" pivotButton="0" quotePrefix="0" xfId="0">
      <alignment horizontal="right"/>
    </xf>
    <xf numFmtId="0" fontId="0" fillId="20" borderId="0" pivotButton="0" quotePrefix="0" xfId="0"/>
  </cellXfs>
  <cellStyles count="1">
    <cellStyle name="Normal" xfId="0" builtinId="0" hidden="0"/>
  </cellStyles>
  <dxfs count="14">
    <dxf>
      <font>
        <name val="Courier New"/>
        <b val="1"/>
        <color rgb="000D0D0D"/>
      </font>
      <fill>
        <patternFill patternType="solid">
          <fgColor rgb="00EF4444"/>
          <bgColor rgb="00EF4444"/>
        </patternFill>
      </fill>
    </dxf>
    <dxf>
      <font>
        <name val="Courier New"/>
        <b val="1"/>
        <color rgb="000D0D0D"/>
      </font>
      <fill>
        <patternFill patternType="solid">
          <fgColor rgb="00F59E0B"/>
          <bgColor rgb="00F59E0B"/>
        </patternFill>
      </fill>
    </dxf>
    <dxf>
      <font>
        <name val="Courier New"/>
        <b val="1"/>
        <color rgb="000D0D0D"/>
      </font>
      <fill>
        <patternFill patternType="solid">
          <fgColor rgb="0016A34A"/>
          <bgColor rgb="0016A34A"/>
        </patternFill>
      </fill>
    </dxf>
    <dxf>
      <fill>
        <patternFill patternType="solid">
          <fgColor rgb="00FFF2CC"/>
        </patternFill>
      </fill>
    </dxf>
    <dxf>
      <fill>
        <patternFill patternType="solid">
          <fgColor rgb="00D9E1F2"/>
        </patternFill>
      </fill>
    </dxf>
    <dxf>
      <fill>
        <patternFill patternType="solid">
          <fgColor rgb="00FCE4D6"/>
        </patternFill>
      </fill>
    </dxf>
    <dxf>
      <fill>
        <patternFill patternType="solid">
          <fgColor rgb="00F8CBAD"/>
        </patternFill>
      </fill>
    </dxf>
    <dxf>
      <fill>
        <patternFill patternType="solid">
          <fgColor rgb="00FFF2CC"/>
          <bgColor rgb="00FFF2CC"/>
        </patternFill>
      </fill>
    </dxf>
    <dxf>
      <fill>
        <patternFill patternType="solid">
          <fgColor rgb="00FF6666"/>
          <bgColor rgb="00FF6666"/>
        </patternFill>
      </fill>
    </dxf>
    <dxf>
      <fill>
        <patternFill patternType="solid">
          <fgColor rgb="00FFD580"/>
          <bgColor rgb="00FFD580"/>
        </patternFill>
      </fill>
    </dxf>
    <dxf>
      <fill>
        <patternFill patternType="solid">
          <fgColor rgb="00FFE6E6"/>
          <bgColor rgb="00FFE6E6"/>
        </patternFill>
      </fill>
    </dxf>
    <dxf>
      <fill>
        <patternFill patternType="solid">
          <fgColor rgb="00FFE0E0"/>
          <bgColor rgb="00FFE0E0"/>
        </patternFill>
      </fill>
    </dxf>
    <dxf>
      <fill>
        <patternFill patternType="solid">
          <fgColor rgb="00E6F0FF"/>
          <bgColor rgb="00E6F0FF"/>
        </patternFill>
      </fill>
    </dxf>
    <dxf>
      <fill>
        <patternFill patternType="solid">
          <fgColor rgb="00FF9999"/>
          <bgColor rgb="00FF99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Lore Master</author>
  </authors>
  <commentList>
    <comment ref="B4" authorId="0" shapeId="0">
      <text>
        <t>The northernmost point. Where Highway 111 ends and Port Meridian begins. A hand-painted sign reads: 'Welcome to Port Meridian. You are already here.'</t>
      </text>
    </comment>
    <comment ref="C4" authorId="0" shapeId="0">
      <text>
        <t>A sign that has been repainted 14 times. The current text is correct. The previous texts are visible underneath if the light is right.</t>
      </text>
    </comment>
    <comment ref="D4" authorId="0" shapeId="0">
      <text>
        <t>A ski lodge with no mountain and an inn with no available rooms. The walls are covered in dollar bills signed by people who may or may not have existed. The Trickster is always behind the bar.</t>
      </text>
    </comment>
    <comment ref="E4" authorId="0" shapeId="0">
      <text>
        <t>A drive-in cinema where the screen shows a different film depending on which character is looking at it. The concession stand sells only items that no longer exist.</t>
      </text>
    </comment>
    <comment ref="F4" authorId="0" shapeId="0">
      <text>
        <t>A single-room structure where every surface is covered in sticky notes. The notes contradict each other. This is considered its primary feature.</t>
      </text>
    </comment>
    <comment ref="G4" authorId="0" shapeId="0">
      <text>
        <t>A fully realized metro station. Timetables. Maps. A PA system. No trains. No tracks. All trains reported on time.</t>
      </text>
    </comment>
    <comment ref="H4" authorId="0" shapeId="0">
      <text>
        <t>A weather display reading: 'Conditions: Stable. Outlook: Improving. Confidence Level: High.' It has read this since installation.</t>
      </text>
    </comment>
    <comment ref="I4" authorId="0" shapeId="0">
      <text>
        <t>The eastern edge of the grid. Beyond this point, the map becomes a suggestion.</t>
      </text>
    </comment>
    <comment ref="B5" authorId="0" shapeId="0">
      <text>
        <t>A converted trailer filled floor-to-ceiling with boxes labeled in a system only Lou understands. The Cahuilla Deep Memory Layer is accessible here.</t>
      </text>
    </comment>
    <comment ref="C5" authorId="0" shapeId="0">
      <text>
        <t>Motto: 'It Is What It Is.' Published works include 'Water: A Comprehensive Analysis of Its Inherent Wetness.' The director denies the glitches on principle.</t>
      </text>
    </comment>
    <comment ref="D5" authorId="0" shapeId="0">
      <text>
        <t>The Anderssons' investigation HQ. A corkboard that has been here since before any of them arrived. Case files. Red string. Post-its in five different handwriting styles.</t>
      </text>
    </comment>
    <comment ref="E5" authorId="0" shapeId="0">
      <text>
        <t>Exhibits include: a door that opens onto a wall, a staircase to a ceiling, and a window that looks into another window looking back.</t>
      </text>
    </comment>
    <comment ref="F5" authorId="0" shapeId="0">
      <text>
        <t>A billiards table, perfectly level and miraculously maintained, open to the sky through a collapsed roof. Membership rules posted in a laminated document no one has read.</t>
      </text>
    </comment>
    <comment ref="G5" authorId="0" shapeId="0">
      <text>
        <t>Always closed. Sign: 'Closed due to being closed. For hours of operation, please refer to the posted hours of operation.'</t>
      </text>
    </comment>
    <comment ref="H5" authorId="0" shapeId="0">
      <text>
        <t>The oldest residential zone. Residents who remember when the Inadvertent Ocean was a resort. They have opinions about everything and share them freely.</t>
      </text>
    </comment>
    <comment ref="I5" authorId="0" shapeId="0">
      <text>
        <t>A cluster of converted structures housing the artists, philosophers, and intentional misfits who arrived after the decline and stayed for the aesthetic.</t>
      </text>
    </comment>
    <comment ref="B6" authorId="0" shapeId="0">
      <text>
        <t>The place where Jonah is always 'placed' when a new glitch opens. He does not choose to come here. He simply arrives.</t>
      </text>
    </comment>
    <comment ref="C6" authorId="0" shapeId="0">
      <text>
        <t>Where two or more glitches have overlapped. The air here smells like ozone and old photographs.</t>
      </text>
    </comment>
    <comment ref="D6" authorId="0" shapeId="0">
      <text>
        <t>A bench facing the Inadvertent Ocean. Naomi receives echoes here before she can name them. The bench was not here last Tuesday.</t>
      </text>
    </comment>
    <comment ref="E6" authorId="0" shapeId="0">
      <text>
        <t>A rotating community of vans, tents, and temporary structures. Six competing conspiracy factions. Six newsletters. One shared coffee pot.</t>
      </text>
    </comment>
    <comment ref="F6" authorId="0" shapeId="0">
      <text>
        <t>A wall covered in Milo's handwriting — every anomaly, every inconsistency, every thing that was one way and then another. The wall is running out of space.</t>
      </text>
    </comment>
    <comment ref="G6" authorId="0" shapeId="0">
      <text>
        <t>The second overlap point. The glitch here is older. It has developed opinions.</t>
      </text>
    </comment>
    <comment ref="H6" authorId="0" shapeId="0">
      <text>
        <t>A small structure where Ella makes art. The art changes the world around it in ways that are difficult to document but impossible to ignore.</t>
      </text>
    </comment>
    <comment ref="I6" authorId="0" shapeId="0">
      <text>
        <t>Where the Nomad newsletters are printed, argued over, and distributed. The printer has never been serviced. It works perfectly.</t>
      </text>
    </comment>
    <comment ref="B7" authorId="0" shapeId="0">
      <text>
        <t>The southernmost accessible point. The Inadvertent Ocean begins here. The water is the color of old mirrors.</t>
      </text>
    </comment>
    <comment ref="C7" authorId="0" shapeId="0">
      <text>
        <t>Grandpa Lou's secondary archive. Partially underwater. The files here are from before the flooding. They are still legible.</t>
      </text>
    </comment>
    <comment ref="D7" authorId="0" shapeId="0">
      <text>
        <t>A single swing on a rusted frame, facing the Inadvertent Ocean. It moves without wind. This is not considered unusual.</t>
      </text>
    </comment>
    <comment ref="E7" authorId="0" shapeId="0">
      <text>
        <t>The Convergence Zone where the final case file resolves. All five Leapers must be present. The Grasshopper will be audible.</t>
      </text>
    </comment>
    <comment ref="F7" authorId="0" shapeId="0">
      <text>
        <t>The Cahuilla ancestral stratum. The oldest timeline. Accessible only through Grandpa Lou's Focus ability set to ANCESTRAL.</t>
      </text>
    </comment>
    <comment ref="G7" authorId="0" shapeId="0">
      <text>
        <t>The point where the map ends and the Void begins. Deleted realities are stored here. Do not enter without a Leaper.</t>
      </text>
    </comment>
    <comment ref="H7" authorId="0" shapeId="0">
      <text>
        <t>The southernmost street, partially under the Inadvertent Ocean. The street sign is still visible at low tide.</t>
      </text>
    </comment>
    <comment ref="I7" authorId="0" shapeId="0">
      <text>
        <t>Where deleted realities go. The water is not water. The Grasshopper is loudest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6B21A8"/>
    <outlinePr summaryBelow="1" summaryRight="1"/>
    <pageSetUpPr/>
  </sheetPr>
  <dimension ref="A1:C60"/>
  <sheetViews>
    <sheetView showGridLines="0" workbookViewId="0">
      <selection activeCell="A1" sqref="A1"/>
    </sheetView>
  </sheetViews>
  <sheetFormatPr baseColWidth="8" defaultRowHeight="15"/>
  <cols>
    <col width="2" customWidth="1" min="1" max="1"/>
    <col width="80" customWidth="1" min="2" max="2"/>
    <col width="2" customWidth="1" min="3" max="3"/>
  </cols>
  <sheetData>
    <row r="1" ht="18" customHeight="1">
      <c r="A1" s="1" t="n"/>
      <c r="B1" s="1" t="n"/>
      <c r="C1" s="1" t="n"/>
    </row>
    <row r="2" ht="18" customHeight="1">
      <c r="A2" s="1" t="n"/>
      <c r="B2" s="1" t="n"/>
      <c r="C2" s="1" t="n"/>
    </row>
    <row r="3" ht="18" customHeight="1">
      <c r="A3" s="1" t="n"/>
      <c r="B3" s="2" t="inlineStr">
        <is>
          <t>🦗  G R A S S H O P P E R</t>
        </is>
      </c>
      <c r="C3" s="1" t="n"/>
    </row>
    <row r="4" ht="18" customHeight="1">
      <c r="A4" s="1" t="n"/>
      <c r="B4" s="3" t="inlineStr">
        <is>
          <t>R E A L I T Y   D E B U G G E R S</t>
        </is>
      </c>
      <c r="C4" s="1" t="n"/>
    </row>
    <row r="5" ht="18" customHeight="1">
      <c r="A5" s="1" t="n"/>
      <c r="B5" s="4" t="inlineStr">
        <is>
          <t>The Flow-Companion Spreadsheet Edition</t>
        </is>
      </c>
      <c r="C5" s="1" t="n"/>
    </row>
    <row r="6" ht="18" customHeight="1">
      <c r="A6" s="1" t="n"/>
      <c r="B6" s="5" t="inlineStr"/>
      <c r="C6" s="1" t="n"/>
    </row>
    <row r="7" ht="18" customHeight="1">
      <c r="A7" s="1" t="n"/>
      <c r="B7" s="6" t="inlineStr">
        <is>
          <t>You are in Port Meridian, California.</t>
        </is>
      </c>
      <c r="C7" s="1" t="n"/>
    </row>
    <row r="8" ht="18" customHeight="1">
      <c r="A8" s="1" t="n"/>
      <c r="B8" s="7" t="inlineStr">
        <is>
          <t>Population: Disputed.</t>
        </is>
      </c>
      <c r="C8" s="1" t="n"/>
    </row>
    <row r="9" ht="18" customHeight="1">
      <c r="A9" s="1" t="n"/>
      <c r="B9" s="7" t="inlineStr">
        <is>
          <t>Elevation: 227 feet below sea level.</t>
        </is>
      </c>
      <c r="C9" s="1" t="n"/>
    </row>
    <row r="10" ht="18" customHeight="1">
      <c r="A10" s="1" t="n"/>
      <c r="B10" s="7" t="inlineStr">
        <is>
          <t>Distance to the Pacific: 150 miles.</t>
        </is>
      </c>
      <c r="C10" s="1" t="n"/>
    </row>
    <row r="11" ht="18" customHeight="1">
      <c r="A11" s="1" t="n"/>
      <c r="B11" s="8" t="inlineStr">
        <is>
          <t>Distance to consensus reality: unmeasured.</t>
        </is>
      </c>
      <c r="C11" s="1" t="n"/>
    </row>
    <row r="12" ht="18" customHeight="1">
      <c r="A12" s="1" t="n"/>
      <c r="B12" s="5" t="inlineStr"/>
      <c r="C12" s="1" t="n"/>
    </row>
    <row r="13" ht="18" customHeight="1">
      <c r="A13" s="1" t="n"/>
      <c r="B13" s="9" t="inlineStr">
        <is>
          <t>The Grasshopper has been here longer than you have.</t>
        </is>
      </c>
      <c r="C13" s="1" t="n"/>
    </row>
    <row r="14" ht="18" customHeight="1">
      <c r="A14" s="1" t="n"/>
      <c r="B14" s="9" t="inlineStr">
        <is>
          <t>It invites clarity without urgency.</t>
        </is>
      </c>
      <c r="C14" s="1" t="n"/>
    </row>
    <row r="15" ht="18" customHeight="1">
      <c r="A15" s="1" t="n"/>
      <c r="B15" s="9" t="inlineStr">
        <is>
          <t>This spreadsheet keeps you company, if you choose.</t>
        </is>
      </c>
      <c r="C15" s="1" t="n"/>
    </row>
    <row r="16" ht="18" customHeight="1">
      <c r="A16" s="1" t="n"/>
      <c r="B16" s="5" t="inlineStr"/>
      <c r="C16" s="1" t="n"/>
    </row>
    <row r="17" ht="18" customHeight="1">
      <c r="A17" s="1" t="n"/>
      <c r="B17" s="10" t="inlineStr">
        <is>
          <t>HOW TO ENTER (GENTLY)</t>
        </is>
      </c>
      <c r="C17" s="1" t="n"/>
    </row>
    <row r="18" ht="18" customHeight="1">
      <c r="A18" s="1" t="n"/>
      <c r="B18" s="11" t="inlineStr">
        <is>
          <t>─────────────────────────────────────────────────────────────────────────</t>
        </is>
      </c>
      <c r="C18" s="1" t="n"/>
    </row>
    <row r="19" ht="18" customHeight="1">
      <c r="A19" s="1" t="n"/>
      <c r="B19" s="12" t="inlineStr">
        <is>
          <t>🗺️  THE MAP          →  Navigate the 32-node grid of Port Meridian.</t>
        </is>
      </c>
      <c r="C19" s="1" t="n"/>
    </row>
    <row r="20" ht="18" customHeight="1">
      <c r="A20" s="1" t="n"/>
      <c r="B20" s="12" t="inlineStr">
        <is>
          <t>🧬  THE LEAPERS      →  Five characters. Five perceptual abilities.</t>
        </is>
      </c>
      <c r="C20" s="1" t="n"/>
    </row>
    <row r="21" ht="18" customHeight="1">
      <c r="A21" s="1" t="n"/>
      <c r="B21" s="12" t="inlineStr">
        <is>
          <t>👥  THE NEIGHBORS    →  Every NPC. Every tribe. Every belief.</t>
        </is>
      </c>
      <c r="C21" s="1" t="n"/>
    </row>
    <row r="22" ht="18" customHeight="1">
      <c r="A22" s="1" t="n"/>
      <c r="B22" s="12" t="inlineStr">
        <is>
          <t>⚡  THE GLITCHES     →  15 case files. Open. Investigating. Closed.</t>
        </is>
      </c>
      <c r="C22" s="1" t="n"/>
    </row>
    <row r="23" ht="18" customHeight="1">
      <c r="A23" s="1" t="n"/>
      <c r="B23" s="12" t="inlineStr">
        <is>
          <t>📚  THE LORE         →  The world bible. Every name. Every motto.</t>
        </is>
      </c>
      <c r="C23" s="1" t="n"/>
    </row>
    <row r="24" ht="18" customHeight="1">
      <c r="A24" s="1" t="n"/>
      <c r="B24" s="13" t="inlineStr">
        <is>
          <t>🔀  THE MANDELA      →  The hidden engine. Change a cell. Change the world.</t>
        </is>
      </c>
      <c r="C24" s="1" t="n"/>
    </row>
    <row r="25" ht="18" customHeight="1">
      <c r="A25" s="1" t="n"/>
      <c r="B25" s="11" t="inlineStr">
        <is>
          <t>─────────────────────────────────────────────────────────────────────────</t>
        </is>
      </c>
      <c r="C25" s="1" t="n"/>
    </row>
    <row r="26" ht="18" customHeight="1">
      <c r="A26" s="1" t="n"/>
      <c r="B26" s="5" t="inlineStr"/>
      <c r="C26" s="1" t="n"/>
    </row>
    <row r="27" ht="18" customHeight="1">
      <c r="A27" s="1" t="n"/>
      <c r="B27" s="14" t="inlineStr">
        <is>
          <t>THE FIRST RULE</t>
        </is>
      </c>
      <c r="C27" s="1" t="n"/>
    </row>
    <row r="28" ht="18" customHeight="1">
      <c r="A28" s="1" t="n"/>
      <c r="B28" s="12" t="inlineStr">
        <is>
          <t>The spreadsheet is not a representation of the game.</t>
        </is>
      </c>
      <c r="C28" s="1" t="n"/>
    </row>
    <row r="29" ht="18" customHeight="1">
      <c r="A29" s="1" t="n"/>
      <c r="B29" s="15" t="inlineStr">
        <is>
          <t>The spreadsheet IS the game — and also a mirror.</t>
        </is>
      </c>
      <c r="C29" s="1" t="n"/>
    </row>
    <row r="30" ht="18" customHeight="1">
      <c r="A30" s="1" t="n"/>
      <c r="B30" s="5" t="inlineStr"/>
      <c r="C30" s="1" t="n"/>
    </row>
    <row r="31" ht="18" customHeight="1">
      <c r="A31" s="1" t="n"/>
      <c r="B31" s="14" t="inlineStr">
        <is>
          <t>THE SECOND RULE</t>
        </is>
      </c>
      <c r="C31" s="1" t="n"/>
    </row>
    <row r="32" ht="18" customHeight="1">
      <c r="A32" s="1" t="n"/>
      <c r="B32" s="12" t="inlineStr">
        <is>
          <t>Some things in this document may change</t>
        </is>
      </c>
      <c r="C32" s="1" t="n"/>
    </row>
    <row r="33" ht="18" customHeight="1">
      <c r="A33" s="1" t="n"/>
      <c r="B33" s="16" t="inlineStr">
        <is>
          <t>because you changed, and the world noticed.</t>
        </is>
      </c>
      <c r="C33" s="1" t="n"/>
    </row>
    <row r="34" ht="18" customHeight="1">
      <c r="A34" s="1" t="n"/>
      <c r="B34" s="17" t="inlineStr">
        <is>
          <t>This is a feature of Thought Momentum™.</t>
        </is>
      </c>
      <c r="C34" s="1" t="n"/>
    </row>
    <row r="35" ht="18" customHeight="1">
      <c r="A35" s="1" t="n"/>
      <c r="B35" s="5" t="inlineStr"/>
      <c r="C35" s="1" t="n"/>
    </row>
    <row r="36" ht="18" customHeight="1">
      <c r="A36" s="1" t="n"/>
      <c r="B36" s="14" t="inlineStr">
        <is>
          <t>A NOTE ON NONE</t>
        </is>
      </c>
      <c r="C36" s="1" t="n"/>
    </row>
    <row r="37" ht="18" customHeight="1">
      <c r="A37" s="1" t="n"/>
      <c r="B37" s="18" t="inlineStr">
        <is>
          <t>Empty cells are not missing information.</t>
        </is>
      </c>
      <c r="C37" s="1" t="n"/>
    </row>
    <row r="38" ht="18" customHeight="1">
      <c r="A38" s="1" t="n"/>
      <c r="B38" s="19" t="inlineStr">
        <is>
          <t>They are the places your life is allowed to enter.</t>
        </is>
      </c>
      <c r="C38" s="1" t="n"/>
    </row>
    <row r="39" ht="18" customHeight="1">
      <c r="A39" s="1" t="n"/>
      <c r="B39" s="5" t="inlineStr"/>
      <c r="C39" s="1" t="n"/>
    </row>
    <row r="40" ht="18" customHeight="1">
      <c r="A40" s="1" t="n"/>
      <c r="B40" s="11" t="inlineStr">
        <is>
          <t>─────────────────────────────────────────────────────────────────────────</t>
        </is>
      </c>
      <c r="C40" s="1" t="n"/>
    </row>
    <row r="41" ht="18" customHeight="1">
      <c r="A41" s="1" t="n"/>
      <c r="B41" s="20" t="inlineStr">
        <is>
          <t>Built by the Lore Master. Played by the Cell‑Minded. Held by Thought Momentum™.</t>
        </is>
      </c>
      <c r="C41" s="1" t="n"/>
    </row>
    <row r="42" ht="18" customHeight="1">
      <c r="A42" s="1" t="n"/>
      <c r="B42" s="21" t="inlineStr">
        <is>
          <t>Port Meridian, CA  ·  227ft below sea level  ·  80°F  ·  33 AQI</t>
        </is>
      </c>
      <c r="C42" s="1" t="n"/>
    </row>
    <row r="43" ht="18" customHeight="1">
      <c r="A43" s="1" t="n"/>
      <c r="B43" s="1" t="n"/>
      <c r="C43" s="1" t="n"/>
    </row>
    <row r="44" ht="18" customHeight="1">
      <c r="A44" s="1" t="n"/>
      <c r="B44" s="1" t="inlineStr">
        <is>
          <t>THOUGHT MOMENTUM™ (WHAT ™ MEANS HERE)</t>
        </is>
      </c>
      <c r="C44" s="1" t="n"/>
    </row>
    <row r="45" ht="18" customHeight="1">
      <c r="A45" s="1" t="n"/>
      <c r="B45" s="1" t="inlineStr">
        <is>
          <t>™ is a designation for the Energy of continuity — awareness in motion.</t>
        </is>
      </c>
      <c r="C45" s="1" t="n"/>
    </row>
    <row r="46" ht="18" customHeight="1">
      <c r="A46" s="1" t="n"/>
      <c r="B46" s="1" t="inlineStr">
        <is>
          <t>Nothing in Port Meridian requires you. Everything responds to you.</t>
        </is>
      </c>
      <c r="C46" s="1" t="n"/>
    </row>
    <row r="47" ht="18" customHeight="1">
      <c r="A47" s="1" t="n"/>
      <c r="B47" s="1" t="n"/>
      <c r="C47" s="1" t="n"/>
    </row>
    <row r="48" ht="18" customHeight="1">
      <c r="A48" s="1" t="n"/>
      <c r="B48" s="1" t="inlineStr">
        <is>
          <t>EDITIONS CO-EXIST</t>
        </is>
      </c>
      <c r="C48" s="1" t="n"/>
    </row>
    <row r="49" ht="18" customHeight="1">
      <c r="A49" s="1" t="n"/>
      <c r="B49" s="1" t="inlineStr">
        <is>
          <t>Base = world-before-self-awareness · Frontier = system-awakening · HUD = instrument-and-console.</t>
        </is>
      </c>
      <c r="C49" s="1" t="n"/>
    </row>
    <row r="50" ht="18" customHeight="1">
      <c r="A50" s="1" t="n"/>
      <c r="B50" s="1" t="inlineStr">
        <is>
          <t>Keep them all. Each is Port Meridian at a different state of becoming.</t>
        </is>
      </c>
      <c r="C50" s="1" t="n"/>
    </row>
    <row r="51" ht="18" customHeight="1">
      <c r="A51" s="1" t="n"/>
      <c r="B51" s="1" t="n"/>
      <c r="C51" s="1" t="n"/>
    </row>
    <row r="52" ht="18" customHeight="1">
      <c r="A52" s="1" t="n"/>
      <c r="B52" s="1" t="n"/>
      <c r="C52" s="1" t="n"/>
    </row>
    <row r="53" ht="18" customHeight="1">
      <c r="A53" s="1" t="n"/>
      <c r="B53" s="1" t="n"/>
      <c r="C53" s="1" t="n"/>
    </row>
    <row r="54" ht="18" customHeight="1">
      <c r="A54" s="1" t="n"/>
      <c r="B54" s="1" t="n"/>
      <c r="C54" s="1" t="n"/>
    </row>
    <row r="55" ht="18" customHeight="1">
      <c r="A55" s="1" t="n"/>
      <c r="B55" s="1" t="n"/>
      <c r="C55" s="1" t="n"/>
    </row>
    <row r="56" ht="18" customHeight="1">
      <c r="A56" s="1" t="n"/>
      <c r="B56" s="1" t="n"/>
      <c r="C56" s="1" t="n"/>
    </row>
    <row r="57" ht="18" customHeight="1">
      <c r="A57" s="1" t="n"/>
      <c r="B57" s="1" t="n"/>
      <c r="C57" s="1" t="n"/>
    </row>
    <row r="58" ht="18" customHeight="1">
      <c r="A58" s="1" t="n"/>
      <c r="B58" s="1" t="n"/>
      <c r="C58" s="1" t="n"/>
    </row>
    <row r="59" ht="18" customHeight="1">
      <c r="A59" s="1" t="n"/>
      <c r="B59" s="1" t="n"/>
      <c r="C59" s="1" t="n"/>
    </row>
    <row r="60">
      <c r="A60" s="1" t="n"/>
      <c r="B60" s="1" t="n"/>
      <c r="C60" s="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51" t="inlineStr">
        <is>
          <t>Grasshopper Companion — Quickstart</t>
        </is>
      </c>
    </row>
    <row r="3">
      <c r="A3" t="inlineStr">
        <is>
          <t>1. Open 🖥️ HUD</t>
        </is>
      </c>
    </row>
    <row r="4">
      <c r="A4" t="inlineStr">
        <is>
          <t>2. If you choose, edit 🔀 THE MANDELA → CURRENT REALITY</t>
        </is>
      </c>
    </row>
    <row r="5">
      <c r="A5" t="inlineStr">
        <is>
          <t>3. Watch 🗺️ THE MAP (resonance shading) + ❤️ EMOTIONAL CLIMATE</t>
        </is>
      </c>
    </row>
    <row r="6">
      <c r="A6" t="inlineStr">
        <is>
          <t>4. Use 🎮 OPERATOR MODE for a gentle next step</t>
        </is>
      </c>
    </row>
    <row r="8">
      <c r="A8" t="inlineStr">
        <is>
          <t>Note</t>
        </is>
      </c>
      <c r="B8" t="inlineStr">
        <is>
          <t>This companion is designed for flow — brief check-ins are enough.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6" customWidth="1" min="1" max="1"/>
    <col width="24" customWidth="1" min="2" max="2"/>
    <col width="18" customWidth="1" min="3" max="3"/>
  </cols>
  <sheetData>
    <row r="1">
      <c r="A1" s="141" t="inlineStr">
        <is>
          <t>🧠 EVOLUTION LAYER · Formula-driven world state</t>
        </is>
      </c>
    </row>
    <row r="2">
      <c r="A2" s="142" t="inlineStr">
        <is>
          <t>Reality Strain Index</t>
        </is>
      </c>
      <c r="B2" s="143">
        <f>COUNTIF('🔀 THE MANDELA'!$D$4:$D$23,"LOW")+2*COUNTIF('🔀 THE MANDELA'!$D$4:$D$23,"MEDIUM")+3*COUNTIF('🔀 THE MANDELA'!$D$4:$D$23,"HIGH")</f>
        <v/>
      </c>
    </row>
    <row r="3">
      <c r="A3" s="142" t="inlineStr">
        <is>
          <t>Discrepancy counts</t>
        </is>
      </c>
      <c r="B3" s="143" t="n"/>
    </row>
    <row r="4">
      <c r="A4" s="143" t="inlineStr">
        <is>
          <t>LOW</t>
        </is>
      </c>
      <c r="B4" s="143">
        <f>COUNTIF('🔀 THE MANDELA'!$D$4:$D$23,"LOW")</f>
        <v/>
      </c>
    </row>
    <row r="5">
      <c r="A5" s="143" t="inlineStr">
        <is>
          <t>MEDIUM</t>
        </is>
      </c>
      <c r="B5" s="143">
        <f>COUNTIF('🔀 THE MANDELA'!$D$4:$D$23,"MEDIUM")</f>
        <v/>
      </c>
    </row>
    <row r="6">
      <c r="A6" s="143" t="inlineStr">
        <is>
          <t>HIGH</t>
        </is>
      </c>
      <c r="B6" s="143">
        <f>COUNTIF('🔀 THE MANDELA'!$D$4:$D$23,"HIGH")</f>
        <v/>
      </c>
    </row>
    <row r="7">
      <c r="A7" s="143" t="inlineStr">
        <is>
          <t>NONE</t>
        </is>
      </c>
      <c r="B7" s="143">
        <f>COUNTIF('🔀 THE MANDELA'!$D$4:$D$23,"NONE")</f>
        <v/>
      </c>
    </row>
    <row r="8">
      <c r="A8" s="143" t="n"/>
      <c r="B8" s="143" t="n"/>
    </row>
    <row r="9">
      <c r="A9" s="142" t="inlineStr">
        <is>
          <t>World State</t>
        </is>
      </c>
      <c r="B9" s="143">
        <f>IF(B2&gt;=9,"FRACTURING",IF(B2&gt;=4,"UNSTABLE",IF(B2&gt;=1,"WOBBLY","STABLE")))</f>
        <v/>
      </c>
    </row>
    <row r="10">
      <c r="A10" s="143" t="inlineStr">
        <is>
          <t>Decayed Strain</t>
        </is>
      </c>
      <c r="B10" s="143">
        <f>IF('🎛️ CONTROL PANEL'!B6=1,MAX(B2-'🎛️ CONTROL PANEL'!B10,0),B2)</f>
        <v/>
      </c>
    </row>
    <row r="11">
      <c r="A11" s="142" t="inlineStr">
        <is>
          <t>Notes</t>
        </is>
      </c>
      <c r="B11" s="143" t="n"/>
    </row>
    <row r="12">
      <c r="A12" s="143" t="inlineStr">
        <is>
          <t>Integrated Strain</t>
        </is>
      </c>
      <c r="B12" s="143">
        <f>B2*(1/🎛️ CONTROL PANEL!B17)</f>
        <v/>
      </c>
    </row>
    <row r="13">
      <c r="A13" s="143" t="inlineStr">
        <is>
          <t>Integration Cycle Note</t>
        </is>
      </c>
      <c r="B13" s="143">
        <f>IF(B4="FRACTURING","Integration slows; invite gentle containment.",IF(B4="UNSTABLE","Integration seeks pacing.",IF(B4="WOBBLY","Integration is available.","Integration is spacious.")))</f>
        <v/>
      </c>
    </row>
    <row r="14">
      <c r="A14" s="143" t="inlineStr">
        <is>
          <t>• Override any formula cell by typing a value (turning it into a manual decision).</t>
        </is>
      </c>
      <c r="B14" s="143" t="n"/>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0F766E"/>
    <outlinePr summaryBelow="1" summaryRight="1"/>
    <pageSetUpPr/>
  </sheetPr>
  <dimension ref="A1:I22"/>
  <sheetViews>
    <sheetView showGridLines="0"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s>
  <sheetData>
    <row r="1" ht="22" customHeight="1">
      <c r="A1" s="22" t="inlineStr">
        <is>
          <t>🗺️  PORT MERIDIAN  ·  GRID OF MISGUIDED CERTAINTY  ·  227ft BELOW SEA LEVEL</t>
        </is>
      </c>
    </row>
    <row r="2" ht="22" customHeight="1">
      <c r="A2" s="144">
        <f>"⚡ REALITY STRAIN: "&amp;'🧠 EVOLUTION'!B2&amp;"  ·  WORLD STATE: "&amp;'🧠 EVOLUTION'!B9</f>
        <v/>
      </c>
      <c r="E2" s="145">
        <f>"OPEN GLITCHES: "&amp;COUNTIF('⚡ THE GLITCHES'!G:G,"OPEN")</f>
        <v/>
      </c>
    </row>
    <row r="3" ht="22" customHeight="1">
      <c r="A3" s="25" t="inlineStr">
        <is>
          <t>STREET \ AVENUE</t>
        </is>
      </c>
      <c r="B3" s="26" t="inlineStr">
        <is>
          <t>Phrenology Dr</t>
        </is>
      </c>
      <c r="C3" s="27" t="inlineStr">
        <is>
          <t>Alchemy Way</t>
        </is>
      </c>
      <c r="D3" s="28" t="inlineStr">
        <is>
          <t>Aetheric Physics Ln</t>
        </is>
      </c>
      <c r="E3" s="29" t="inlineStr">
        <is>
          <t>Spontaneous Generation Path</t>
        </is>
      </c>
      <c r="F3" s="30" t="inlineStr">
        <is>
          <t>Vitalism Bend</t>
        </is>
      </c>
      <c r="G3" s="31" t="inlineStr">
        <is>
          <t>Numerology Pass</t>
        </is>
      </c>
      <c r="H3" s="32" t="inlineStr">
        <is>
          <t>Mesmerism Row</t>
        </is>
      </c>
      <c r="I3" s="33" t="inlineStr">
        <is>
          <t>Pataphysics Court</t>
        </is>
      </c>
    </row>
    <row r="4" ht="22" customHeight="1">
      <c r="A4" s="34" t="inlineStr">
        <is>
          <t>Pending Approval St</t>
        </is>
      </c>
      <c r="B4" s="35" t="inlineStr">
        <is>
          <t>The Berm Outpost</t>
        </is>
      </c>
      <c r="C4" s="35" t="inlineStr">
        <is>
          <t>The Welcome Sign</t>
        </is>
      </c>
      <c r="D4" s="36" t="inlineStr">
        <is>
          <t>The Ski &amp; Inn</t>
        </is>
      </c>
      <c r="E4" s="37" t="inlineStr">
        <is>
          <t>The Perceptual Shift Drive-In</t>
        </is>
      </c>
      <c r="F4" s="38" t="inlineStr">
        <is>
          <t>The Hermitage of Provisional Conclusions</t>
        </is>
      </c>
      <c r="G4" s="35" t="inlineStr">
        <is>
          <t>The Port Meridian Transit Hub</t>
        </is>
      </c>
      <c r="H4" s="39" t="inlineStr">
        <is>
          <t>The Optimistic Forecast Station</t>
        </is>
      </c>
      <c r="I4" s="35" t="inlineStr">
        <is>
          <t>The Threshold</t>
        </is>
      </c>
    </row>
    <row r="5" ht="22" customHeight="1">
      <c r="A5" s="40" t="inlineStr">
        <is>
          <t>Further Review Rd</t>
        </is>
      </c>
      <c r="B5" s="41" t="inlineStr">
        <is>
          <t>Grandpa Lou's Archive</t>
        </is>
      </c>
      <c r="C5" s="37" t="inlineStr">
        <is>
          <t>The Institute for Tautological Studies</t>
        </is>
      </c>
      <c r="D5" s="36" t="inlineStr">
        <is>
          <t>The Corkboard Hub</t>
        </is>
      </c>
      <c r="E5" s="42" t="inlineStr">
        <is>
          <t>The Museum of Unwanted Architecture</t>
        </is>
      </c>
      <c r="F5" s="39" t="inlineStr">
        <is>
          <t>The Port Meridian Yacht Club</t>
        </is>
      </c>
      <c r="G5" s="38" t="inlineStr">
        <is>
          <t>The Office of Bureaucratic Tautology Office</t>
        </is>
      </c>
      <c r="H5" s="35" t="inlineStr">
        <is>
          <t>The Holdout Quarter</t>
        </is>
      </c>
      <c r="I5" s="37" t="inlineStr">
        <is>
          <t>The Transplant Studios</t>
        </is>
      </c>
    </row>
    <row r="6" ht="22" customHeight="1">
      <c r="A6" s="43" t="inlineStr">
        <is>
          <t>Tabled for Discussion Blvd</t>
        </is>
      </c>
      <c r="B6" s="44" t="inlineStr">
        <is>
          <t>Jonah's Seam Point</t>
        </is>
      </c>
      <c r="C6" s="42" t="inlineStr">
        <is>
          <t>The Convergence Zone (West)</t>
        </is>
      </c>
      <c r="D6" s="41" t="inlineStr">
        <is>
          <t>Naomi's Listening Post</t>
        </is>
      </c>
      <c r="E6" s="45" t="inlineStr">
        <is>
          <t>The Nomad Encampment</t>
        </is>
      </c>
      <c r="F6" s="46" t="inlineStr">
        <is>
          <t>Milo's Error Log</t>
        </is>
      </c>
      <c r="G6" s="47" t="inlineStr">
        <is>
          <t>The Convergence Zone (East)</t>
        </is>
      </c>
      <c r="H6" s="48" t="inlineStr">
        <is>
          <t>Ella's Rewrite Studio</t>
        </is>
      </c>
      <c r="I6" s="45" t="inlineStr">
        <is>
          <t>The Nomad Relay Station</t>
        </is>
      </c>
    </row>
    <row r="7" ht="22" customHeight="1">
      <c r="A7" s="49" t="inlineStr">
        <is>
          <t>Archived Without Comment Ave</t>
        </is>
      </c>
      <c r="B7" s="39" t="inlineStr">
        <is>
          <t>The Void Approach (West)</t>
        </is>
      </c>
      <c r="C7" s="41" t="inlineStr">
        <is>
          <t>The Submerged Archive</t>
        </is>
      </c>
      <c r="D7" s="44" t="inlineStr">
        <is>
          <t>The Swing</t>
        </is>
      </c>
      <c r="E7" s="42" t="inlineStr">
        <is>
          <t>The Parable 15 Site</t>
        </is>
      </c>
      <c r="F7" s="41" t="inlineStr">
        <is>
          <t>The Deep Memory Layer</t>
        </is>
      </c>
      <c r="G7" s="50" t="inlineStr">
        <is>
          <t>The Void Threshold</t>
        </is>
      </c>
      <c r="H7" s="39" t="inlineStr">
        <is>
          <t>Archived Without Comment (Submerged)</t>
        </is>
      </c>
      <c r="I7" s="50" t="inlineStr">
        <is>
          <t>The Void (The Inadvertent Ocean)</t>
        </is>
      </c>
    </row>
    <row r="8" ht="22" customHeight="1"/>
    <row r="9" ht="22" customHeight="1">
      <c r="A9" s="51" t="inlineStr">
        <is>
          <t>ZONE LEGEND  ·  Hover over any cell for its lore description</t>
        </is>
      </c>
    </row>
    <row r="10" ht="22" customHeight="1">
      <c r="A10" s="52" t="inlineStr">
        <is>
          <t>HUB ZONE — The Ski &amp; Inn &amp; Corkboard</t>
        </is>
      </c>
      <c r="B10" s="53" t="inlineStr">
        <is>
          <t>GLITCH ZONE — Active anomaly</t>
        </is>
      </c>
      <c r="C10" s="54" t="inlineStr">
        <is>
          <t>DEEP MEMORY — Cahuilla layer</t>
        </is>
      </c>
      <c r="D10" s="55" t="inlineStr">
        <is>
          <t>THE VOID — Inadvertent Ocean</t>
        </is>
      </c>
      <c r="E10" s="56" t="inlineStr">
        <is>
          <t>THRESHOLD — Edge of the known</t>
        </is>
      </c>
      <c r="F10" s="57" t="inlineStr">
        <is>
          <t>CONVERGENCE — Overlapping glitches</t>
        </is>
      </c>
      <c r="G10" s="58" t="inlineStr">
        <is>
          <t>NOMAD ZONE — Rotating community</t>
        </is>
      </c>
      <c r="H10" s="59" t="inlineStr">
        <is>
          <t>INSTITUTE — Tautological research</t>
        </is>
      </c>
      <c r="I10" s="60" t="inlineStr">
        <is>
          <t>THE VOID ITSELF — Here be deleted realities</t>
        </is>
      </c>
    </row>
    <row r="11" ht="22" customHeight="1"/>
    <row r="12" ht="22" customHeight="1"/>
    <row r="13" ht="22" customHeight="1"/>
    <row r="14" ht="22" customHeight="1"/>
    <row r="15" ht="22" customHeight="1"/>
    <row r="16" ht="22" customHeight="1"/>
    <row r="17" ht="22" customHeight="1">
      <c r="A17" s="151" t="inlineStr">
        <is>
          <t>Localized Strain Index</t>
        </is>
      </c>
    </row>
    <row r="18" ht="22" customHeight="1">
      <c r="A18">
        <f>SUM('🔀 THE MANDELA'!F2:F100)</f>
        <v/>
      </c>
    </row>
    <row r="19" ht="22" customHeight="1"/>
    <row r="20" ht="22" customHeight="1">
      <c r="A20" s="151" t="inlineStr">
        <is>
          <t>Node-Specific Strain Engine</t>
        </is>
      </c>
    </row>
    <row r="21" ht="22" customHeight="1">
      <c r="A21" t="inlineStr">
        <is>
          <t>Highest Strain Node:</t>
        </is>
      </c>
      <c r="B21">
        <f>INDEX('🔀 THE MANDELA'!A2:A100, MATCH(MAX('🔀 THE MANDELA'!F2:F100), '🔀 THE MANDELA'!F2:F100, 0))</f>
        <v/>
      </c>
    </row>
    <row r="22" ht="22" customHeight="1">
      <c r="A22" t="inlineStr">
        <is>
          <t>Max Node Strain Value:</t>
        </is>
      </c>
      <c r="B22">
        <f>MAX('🔀 THE MANDELA'!F2:F100)</f>
        <v/>
      </c>
    </row>
    <row r="23" ht="22" customHeight="1"/>
    <row r="24" ht="22" customHeight="1"/>
    <row r="25" ht="22" customHeight="1"/>
    <row r="26" ht="22" customHeight="1"/>
    <row r="27" ht="22" customHeight="1"/>
    <row r="28" ht="22" customHeight="1"/>
    <row r="29" ht="22" customHeight="1"/>
  </sheetData>
  <mergeCells count="4">
    <mergeCell ref="A1:I1"/>
    <mergeCell ref="E2:I2"/>
    <mergeCell ref="A9:I9"/>
    <mergeCell ref="A2:D2"/>
  </mergeCells>
  <conditionalFormatting sqref="A1:I15">
    <cfRule type="expression" priority="1" dxfId="7">
      <formula>🧠 EVOLUTION!B4="UNSTABLE"</formula>
    </cfRule>
    <cfRule type="expression" priority="2" dxfId="9">
      <formula>A18&gt;5</formula>
    </cfRule>
  </conditionalFormatting>
  <conditionalFormatting sqref="B4:I7">
    <cfRule type="expression" priority="3" dxfId="7">
      <formula>=XLOOKUP(B4,'🧩 NODE REGISTRY'!$E$4:$E$35,'🧩 NODE REGISTRY'!$M$4:$M$35,0)&gt;=🎛️ CONTROL PANEL!$B$19</formula>
    </cfRule>
    <cfRule type="expression" priority="4" dxfId="9">
      <formula>=XLOOKUP(B4,'🧩 NODE REGISTRY'!$E$4:$E$35,'🧩 NODE REGISTRY'!$M$4:$M$35,0)&gt;=🎛️ CONTROL PANEL!$B$20</formula>
    </cfRule>
    <cfRule type="expression" priority="5" dxfId="13">
      <formula>=XLOOKUP(B4,'🧩 NODE REGISTRY'!$E$4:$E$35,'🧩 NODE REGISTRY'!$M$4:$M$35,0)&gt;=🎛️ CONTROL PANEL!$B$21</formula>
    </cfRule>
  </conditionalFormatting>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M35"/>
  <sheetViews>
    <sheetView workbookViewId="0">
      <pane ySplit="3" topLeftCell="A4" activePane="bottomLeft" state="frozen"/>
      <selection pane="bottomLeft" activeCell="A1" sqref="A1"/>
    </sheetView>
  </sheetViews>
  <sheetFormatPr baseColWidth="8" defaultRowHeight="15"/>
  <cols>
    <col width="10" customWidth="1" min="1" max="1"/>
    <col width="18" customWidth="1" min="2" max="2"/>
    <col width="18" customWidth="1" min="3" max="3"/>
    <col width="10" customWidth="1" min="4" max="4"/>
    <col width="3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51" t="inlineStr">
        <is>
          <t>Port Meridian Node Registry™</t>
        </is>
      </c>
    </row>
    <row r="3">
      <c r="A3" s="151" t="inlineStr">
        <is>
          <t>Node ID</t>
        </is>
      </c>
      <c r="B3" s="151" t="inlineStr">
        <is>
          <t>Street</t>
        </is>
      </c>
      <c r="C3" s="151" t="inlineStr">
        <is>
          <t>Avenue</t>
        </is>
      </c>
      <c r="D3" s="151" t="inlineStr">
        <is>
          <t>Map Cell</t>
        </is>
      </c>
      <c r="E3" s="151" t="inlineStr">
        <is>
          <t>Node Name</t>
        </is>
      </c>
      <c r="F3" s="151" t="inlineStr">
        <is>
          <t>North</t>
        </is>
      </c>
      <c r="G3" s="151" t="inlineStr">
        <is>
          <t>South</t>
        </is>
      </c>
      <c r="H3" s="151" t="inlineStr">
        <is>
          <t>West</t>
        </is>
      </c>
      <c r="I3" s="151" t="inlineStr">
        <is>
          <t>East</t>
        </is>
      </c>
      <c r="J3" s="151" t="inlineStr">
        <is>
          <t>Integrity (0-1)</t>
        </is>
      </c>
      <c r="K3" s="151" t="inlineStr">
        <is>
          <t>Base Strain</t>
        </is>
      </c>
      <c r="L3" s="151" t="inlineStr">
        <is>
          <t>Neighbor Base Avg</t>
        </is>
      </c>
      <c r="M3" s="151" t="inlineStr">
        <is>
          <t>Diffused Strain</t>
        </is>
      </c>
    </row>
    <row r="4">
      <c r="A4" t="inlineStr">
        <is>
          <t>N01</t>
        </is>
      </c>
      <c r="B4" t="inlineStr">
        <is>
          <t>Pending Approval St</t>
        </is>
      </c>
      <c r="C4" t="inlineStr">
        <is>
          <t>Phrenology Dr</t>
        </is>
      </c>
      <c r="D4" t="inlineStr">
        <is>
          <t>B4</t>
        </is>
      </c>
      <c r="E4" t="inlineStr">
        <is>
          <t>The Berm Outpost</t>
        </is>
      </c>
      <c r="G4" t="inlineStr">
        <is>
          <t>Grandpa Lou's Archive</t>
        </is>
      </c>
      <c r="I4" t="inlineStr">
        <is>
          <t>The Welcome Sign</t>
        </is>
      </c>
      <c r="J4">
        <f>🎛️ CONTROL PANEL!B16</f>
        <v/>
      </c>
      <c r="K4">
        <f>SUMPRODUCT(--ISNUMBER(SEARCH(E4,'🔀 THE MANDELA'!$A$2:$A$200)),'🔀 THE MANDELA'!$F$2:$F$200)</f>
        <v/>
      </c>
      <c r="L4">
        <f>((XLOOKUP(F4,$E$4:$E$35,$K$4:$K$35,0))+(XLOOKUP(G4,$E$4:$E$35,$K$4:$K$35,0))+(XLOOKUP(H4,$E$4:$E$35,$K$4:$K$35,0))+(XLOOKUP(I4,$E$4:$E$35,$K$4:$K$35,0)))/MAX(1,(F4&lt;&gt;"")+(G4&lt;&gt;"")+(H4&lt;&gt;"")+(I4&lt;&gt;""))</f>
        <v/>
      </c>
      <c r="M4">
        <f>K4 + (🎛️ CONTROL PANEL!B15*(1-J4)*L4)</f>
        <v/>
      </c>
    </row>
    <row r="5">
      <c r="A5" t="inlineStr">
        <is>
          <t>N02</t>
        </is>
      </c>
      <c r="B5" t="inlineStr">
        <is>
          <t>Pending Approval St</t>
        </is>
      </c>
      <c r="C5" t="inlineStr">
        <is>
          <t>Alchemy Way</t>
        </is>
      </c>
      <c r="D5" t="inlineStr">
        <is>
          <t>C4</t>
        </is>
      </c>
      <c r="E5" t="inlineStr">
        <is>
          <t>The Welcome Sign</t>
        </is>
      </c>
      <c r="G5" t="inlineStr">
        <is>
          <t>The Institute for Tautological Studies</t>
        </is>
      </c>
      <c r="H5" t="inlineStr">
        <is>
          <t>The Berm Outpost</t>
        </is>
      </c>
      <c r="I5" t="inlineStr">
        <is>
          <t>The Ski &amp; Inn</t>
        </is>
      </c>
      <c r="J5">
        <f>🎛️ CONTROL PANEL!B16</f>
        <v/>
      </c>
      <c r="K5">
        <f>SUMPRODUCT(--ISNUMBER(SEARCH(E5,'🔀 THE MANDELA'!$A$2:$A$200)),'🔀 THE MANDELA'!$F$2:$F$200)</f>
        <v/>
      </c>
      <c r="L5">
        <f>((XLOOKUP(F5,$E$4:$E$35,$K$4:$K$35,0))+(XLOOKUP(G5,$E$4:$E$35,$K$4:$K$35,0))+(XLOOKUP(H5,$E$4:$E$35,$K$4:$K$35,0))+(XLOOKUP(I5,$E$4:$E$35,$K$4:$K$35,0)))/MAX(1,(F5&lt;&gt;"")+(G5&lt;&gt;"")+(H5&lt;&gt;"")+(I5&lt;&gt;""))</f>
        <v/>
      </c>
      <c r="M5">
        <f>K5 + (🎛️ CONTROL PANEL!B15*(1-J5)*L5)</f>
        <v/>
      </c>
    </row>
    <row r="6">
      <c r="A6" t="inlineStr">
        <is>
          <t>N03</t>
        </is>
      </c>
      <c r="B6" t="inlineStr">
        <is>
          <t>Pending Approval St</t>
        </is>
      </c>
      <c r="C6" t="inlineStr">
        <is>
          <t>Aetheric Physics Ln</t>
        </is>
      </c>
      <c r="D6" t="inlineStr">
        <is>
          <t>D4</t>
        </is>
      </c>
      <c r="E6" t="inlineStr">
        <is>
          <t>The Ski &amp; Inn</t>
        </is>
      </c>
      <c r="G6" t="inlineStr">
        <is>
          <t>The Corkboard Hub</t>
        </is>
      </c>
      <c r="H6" t="inlineStr">
        <is>
          <t>The Welcome Sign</t>
        </is>
      </c>
      <c r="I6" t="inlineStr">
        <is>
          <t>The Perceptual Shift Drive-In</t>
        </is>
      </c>
      <c r="J6">
        <f>🎛️ CONTROL PANEL!B16</f>
        <v/>
      </c>
      <c r="K6">
        <f>SUMPRODUCT(--ISNUMBER(SEARCH(E6,'🔀 THE MANDELA'!$A$2:$A$200)),'🔀 THE MANDELA'!$F$2:$F$200)</f>
        <v/>
      </c>
      <c r="L6">
        <f>((XLOOKUP(F6,$E$4:$E$35,$K$4:$K$35,0))+(XLOOKUP(G6,$E$4:$E$35,$K$4:$K$35,0))+(XLOOKUP(H6,$E$4:$E$35,$K$4:$K$35,0))+(XLOOKUP(I6,$E$4:$E$35,$K$4:$K$35,0)))/MAX(1,(F6&lt;&gt;"")+(G6&lt;&gt;"")+(H6&lt;&gt;"")+(I6&lt;&gt;""))</f>
        <v/>
      </c>
      <c r="M6">
        <f>K6 + (🎛️ CONTROL PANEL!B15*(1-J6)*L6)</f>
        <v/>
      </c>
    </row>
    <row r="7">
      <c r="A7" t="inlineStr">
        <is>
          <t>N04</t>
        </is>
      </c>
      <c r="B7" t="inlineStr">
        <is>
          <t>Pending Approval St</t>
        </is>
      </c>
      <c r="C7" t="inlineStr">
        <is>
          <t>Spontaneous Generation Path</t>
        </is>
      </c>
      <c r="D7" t="inlineStr">
        <is>
          <t>E4</t>
        </is>
      </c>
      <c r="E7" t="inlineStr">
        <is>
          <t>The Perceptual Shift Drive-In</t>
        </is>
      </c>
      <c r="G7" t="inlineStr">
        <is>
          <t>The Museum of Unwanted Architecture</t>
        </is>
      </c>
      <c r="H7" t="inlineStr">
        <is>
          <t>The Ski &amp; Inn</t>
        </is>
      </c>
      <c r="I7" t="inlineStr">
        <is>
          <t>The Hermitage of Provisional Conclusions</t>
        </is>
      </c>
      <c r="J7">
        <f>🎛️ CONTROL PANEL!B16</f>
        <v/>
      </c>
      <c r="K7">
        <f>SUMPRODUCT(--ISNUMBER(SEARCH(E7,'🔀 THE MANDELA'!$A$2:$A$200)),'🔀 THE MANDELA'!$F$2:$F$200)</f>
        <v/>
      </c>
      <c r="L7">
        <f>((XLOOKUP(F7,$E$4:$E$35,$K$4:$K$35,0))+(XLOOKUP(G7,$E$4:$E$35,$K$4:$K$35,0))+(XLOOKUP(H7,$E$4:$E$35,$K$4:$K$35,0))+(XLOOKUP(I7,$E$4:$E$35,$K$4:$K$35,0)))/MAX(1,(F7&lt;&gt;"")+(G7&lt;&gt;"")+(H7&lt;&gt;"")+(I7&lt;&gt;""))</f>
        <v/>
      </c>
      <c r="M7">
        <f>K7 + (🎛️ CONTROL PANEL!B15*(1-J7)*L7)</f>
        <v/>
      </c>
    </row>
    <row r="8">
      <c r="A8" t="inlineStr">
        <is>
          <t>N05</t>
        </is>
      </c>
      <c r="B8" t="inlineStr">
        <is>
          <t>Pending Approval St</t>
        </is>
      </c>
      <c r="C8" t="inlineStr">
        <is>
          <t>Vitalism Bend</t>
        </is>
      </c>
      <c r="D8" t="inlineStr">
        <is>
          <t>F4</t>
        </is>
      </c>
      <c r="E8" t="inlineStr">
        <is>
          <t>The Hermitage of Provisional Conclusions</t>
        </is>
      </c>
      <c r="G8" t="inlineStr">
        <is>
          <t>The Port Meridian Yacht Club</t>
        </is>
      </c>
      <c r="H8" t="inlineStr">
        <is>
          <t>The Perceptual Shift Drive-In</t>
        </is>
      </c>
      <c r="I8" t="inlineStr">
        <is>
          <t>The Port Meridian Transit Hub</t>
        </is>
      </c>
      <c r="J8">
        <f>🎛️ CONTROL PANEL!B16</f>
        <v/>
      </c>
      <c r="K8">
        <f>SUMPRODUCT(--ISNUMBER(SEARCH(E8,'🔀 THE MANDELA'!$A$2:$A$200)),'🔀 THE MANDELA'!$F$2:$F$200)</f>
        <v/>
      </c>
      <c r="L8">
        <f>((XLOOKUP(F8,$E$4:$E$35,$K$4:$K$35,0))+(XLOOKUP(G8,$E$4:$E$35,$K$4:$K$35,0))+(XLOOKUP(H8,$E$4:$E$35,$K$4:$K$35,0))+(XLOOKUP(I8,$E$4:$E$35,$K$4:$K$35,0)))/MAX(1,(F8&lt;&gt;"")+(G8&lt;&gt;"")+(H8&lt;&gt;"")+(I8&lt;&gt;""))</f>
        <v/>
      </c>
      <c r="M8">
        <f>K8 + (🎛️ CONTROL PANEL!B15*(1-J8)*L8)</f>
        <v/>
      </c>
    </row>
    <row r="9">
      <c r="A9" t="inlineStr">
        <is>
          <t>N06</t>
        </is>
      </c>
      <c r="B9" t="inlineStr">
        <is>
          <t>Pending Approval St</t>
        </is>
      </c>
      <c r="C9" t="inlineStr">
        <is>
          <t>Numerology Pass</t>
        </is>
      </c>
      <c r="D9" t="inlineStr">
        <is>
          <t>G4</t>
        </is>
      </c>
      <c r="E9" t="inlineStr">
        <is>
          <t>The Port Meridian Transit Hub</t>
        </is>
      </c>
      <c r="G9" t="inlineStr">
        <is>
          <t>The Office of Bureaucratic Tautology Office</t>
        </is>
      </c>
      <c r="H9" t="inlineStr">
        <is>
          <t>The Hermitage of Provisional Conclusions</t>
        </is>
      </c>
      <c r="I9" t="inlineStr">
        <is>
          <t>The Optimistic Forecast Station</t>
        </is>
      </c>
      <c r="J9">
        <f>🎛️ CONTROL PANEL!B16</f>
        <v/>
      </c>
      <c r="K9">
        <f>SUMPRODUCT(--ISNUMBER(SEARCH(E9,'🔀 THE MANDELA'!$A$2:$A$200)),'🔀 THE MANDELA'!$F$2:$F$200)</f>
        <v/>
      </c>
      <c r="L9">
        <f>((XLOOKUP(F9,$E$4:$E$35,$K$4:$K$35,0))+(XLOOKUP(G9,$E$4:$E$35,$K$4:$K$35,0))+(XLOOKUP(H9,$E$4:$E$35,$K$4:$K$35,0))+(XLOOKUP(I9,$E$4:$E$35,$K$4:$K$35,0)))/MAX(1,(F9&lt;&gt;"")+(G9&lt;&gt;"")+(H9&lt;&gt;"")+(I9&lt;&gt;""))</f>
        <v/>
      </c>
      <c r="M9">
        <f>K9 + (🎛️ CONTROL PANEL!B15*(1-J9)*L9)</f>
        <v/>
      </c>
    </row>
    <row r="10">
      <c r="A10" t="inlineStr">
        <is>
          <t>N07</t>
        </is>
      </c>
      <c r="B10" t="inlineStr">
        <is>
          <t>Pending Approval St</t>
        </is>
      </c>
      <c r="C10" t="inlineStr">
        <is>
          <t>Mesmerism Row</t>
        </is>
      </c>
      <c r="D10" t="inlineStr">
        <is>
          <t>H4</t>
        </is>
      </c>
      <c r="E10" t="inlineStr">
        <is>
          <t>The Optimistic Forecast Station</t>
        </is>
      </c>
      <c r="G10" t="inlineStr">
        <is>
          <t>The Holdout Quarter</t>
        </is>
      </c>
      <c r="H10" t="inlineStr">
        <is>
          <t>The Port Meridian Transit Hub</t>
        </is>
      </c>
      <c r="I10" t="inlineStr">
        <is>
          <t>The Threshold</t>
        </is>
      </c>
      <c r="J10">
        <f>🎛️ CONTROL PANEL!B16</f>
        <v/>
      </c>
      <c r="K10">
        <f>SUMPRODUCT(--ISNUMBER(SEARCH(E10,'🔀 THE MANDELA'!$A$2:$A$200)),'🔀 THE MANDELA'!$F$2:$F$200)</f>
        <v/>
      </c>
      <c r="L10">
        <f>((XLOOKUP(F10,$E$4:$E$35,$K$4:$K$35,0))+(XLOOKUP(G10,$E$4:$E$35,$K$4:$K$35,0))+(XLOOKUP(H10,$E$4:$E$35,$K$4:$K$35,0))+(XLOOKUP(I10,$E$4:$E$35,$K$4:$K$35,0)))/MAX(1,(F10&lt;&gt;"")+(G10&lt;&gt;"")+(H10&lt;&gt;"")+(I10&lt;&gt;""))</f>
        <v/>
      </c>
      <c r="M10">
        <f>K10 + (🎛️ CONTROL PANEL!B15*(1-J10)*L10)</f>
        <v/>
      </c>
    </row>
    <row r="11">
      <c r="A11" t="inlineStr">
        <is>
          <t>N08</t>
        </is>
      </c>
      <c r="B11" t="inlineStr">
        <is>
          <t>Pending Approval St</t>
        </is>
      </c>
      <c r="C11" t="inlineStr">
        <is>
          <t>Pataphysics Court</t>
        </is>
      </c>
      <c r="D11" t="inlineStr">
        <is>
          <t>I4</t>
        </is>
      </c>
      <c r="E11" t="inlineStr">
        <is>
          <t>The Threshold</t>
        </is>
      </c>
      <c r="G11" t="inlineStr">
        <is>
          <t>The Transplant Studios</t>
        </is>
      </c>
      <c r="H11" t="inlineStr">
        <is>
          <t>The Optimistic Forecast Station</t>
        </is>
      </c>
      <c r="J11">
        <f>🎛️ CONTROL PANEL!B16</f>
        <v/>
      </c>
      <c r="K11">
        <f>SUMPRODUCT(--ISNUMBER(SEARCH(E11,'🔀 THE MANDELA'!$A$2:$A$200)),'🔀 THE MANDELA'!$F$2:$F$200)</f>
        <v/>
      </c>
      <c r="L11">
        <f>((XLOOKUP(F11,$E$4:$E$35,$K$4:$K$35,0))+(XLOOKUP(G11,$E$4:$E$35,$K$4:$K$35,0))+(XLOOKUP(H11,$E$4:$E$35,$K$4:$K$35,0))+(XLOOKUP(I11,$E$4:$E$35,$K$4:$K$35,0)))/MAX(1,(F11&lt;&gt;"")+(G11&lt;&gt;"")+(H11&lt;&gt;"")+(I11&lt;&gt;""))</f>
        <v/>
      </c>
      <c r="M11">
        <f>K11 + (🎛️ CONTROL PANEL!B15*(1-J11)*L11)</f>
        <v/>
      </c>
    </row>
    <row r="12">
      <c r="A12" t="inlineStr">
        <is>
          <t>N09</t>
        </is>
      </c>
      <c r="B12" t="inlineStr">
        <is>
          <t>Further Review Rd</t>
        </is>
      </c>
      <c r="C12" t="inlineStr">
        <is>
          <t>Phrenology Dr</t>
        </is>
      </c>
      <c r="D12" t="inlineStr">
        <is>
          <t>B5</t>
        </is>
      </c>
      <c r="E12" t="inlineStr">
        <is>
          <t>Grandpa Lou's Archive</t>
        </is>
      </c>
      <c r="F12" t="inlineStr">
        <is>
          <t>The Berm Outpost</t>
        </is>
      </c>
      <c r="G12" t="inlineStr">
        <is>
          <t>Jonah's Seam Point</t>
        </is>
      </c>
      <c r="I12" t="inlineStr">
        <is>
          <t>The Institute for Tautological Studies</t>
        </is>
      </c>
      <c r="J12">
        <f>🎛️ CONTROL PANEL!B16</f>
        <v/>
      </c>
      <c r="K12">
        <f>SUMPRODUCT(--ISNUMBER(SEARCH(E12,'🔀 THE MANDELA'!$A$2:$A$200)),'🔀 THE MANDELA'!$F$2:$F$200)</f>
        <v/>
      </c>
      <c r="L12">
        <f>((XLOOKUP(F12,$E$4:$E$35,$K$4:$K$35,0))+(XLOOKUP(G12,$E$4:$E$35,$K$4:$K$35,0))+(XLOOKUP(H12,$E$4:$E$35,$K$4:$K$35,0))+(XLOOKUP(I12,$E$4:$E$35,$K$4:$K$35,0)))/MAX(1,(F12&lt;&gt;"")+(G12&lt;&gt;"")+(H12&lt;&gt;"")+(I12&lt;&gt;""))</f>
        <v/>
      </c>
      <c r="M12">
        <f>K12 + (🎛️ CONTROL PANEL!B15*(1-J12)*L12)</f>
        <v/>
      </c>
    </row>
    <row r="13">
      <c r="A13" t="inlineStr">
        <is>
          <t>N10</t>
        </is>
      </c>
      <c r="B13" t="inlineStr">
        <is>
          <t>Further Review Rd</t>
        </is>
      </c>
      <c r="C13" t="inlineStr">
        <is>
          <t>Alchemy Way</t>
        </is>
      </c>
      <c r="D13" t="inlineStr">
        <is>
          <t>C5</t>
        </is>
      </c>
      <c r="E13" t="inlineStr">
        <is>
          <t>The Institute for Tautological Studies</t>
        </is>
      </c>
      <c r="F13" t="inlineStr">
        <is>
          <t>The Welcome Sign</t>
        </is>
      </c>
      <c r="G13" t="inlineStr">
        <is>
          <t>The Convergence Zone (West)</t>
        </is>
      </c>
      <c r="H13" t="inlineStr">
        <is>
          <t>Grandpa Lou's Archive</t>
        </is>
      </c>
      <c r="I13" t="inlineStr">
        <is>
          <t>The Corkboard Hub</t>
        </is>
      </c>
      <c r="J13">
        <f>🎛️ CONTROL PANEL!B16</f>
        <v/>
      </c>
      <c r="K13">
        <f>SUMPRODUCT(--ISNUMBER(SEARCH(E13,'🔀 THE MANDELA'!$A$2:$A$200)),'🔀 THE MANDELA'!$F$2:$F$200)</f>
        <v/>
      </c>
      <c r="L13">
        <f>((XLOOKUP(F13,$E$4:$E$35,$K$4:$K$35,0))+(XLOOKUP(G13,$E$4:$E$35,$K$4:$K$35,0))+(XLOOKUP(H13,$E$4:$E$35,$K$4:$K$35,0))+(XLOOKUP(I13,$E$4:$E$35,$K$4:$K$35,0)))/MAX(1,(F13&lt;&gt;"")+(G13&lt;&gt;"")+(H13&lt;&gt;"")+(I13&lt;&gt;""))</f>
        <v/>
      </c>
      <c r="M13">
        <f>K13 + (🎛️ CONTROL PANEL!B15*(1-J13)*L13)</f>
        <v/>
      </c>
    </row>
    <row r="14">
      <c r="A14" t="inlineStr">
        <is>
          <t>N11</t>
        </is>
      </c>
      <c r="B14" t="inlineStr">
        <is>
          <t>Further Review Rd</t>
        </is>
      </c>
      <c r="C14" t="inlineStr">
        <is>
          <t>Aetheric Physics Ln</t>
        </is>
      </c>
      <c r="D14" t="inlineStr">
        <is>
          <t>D5</t>
        </is>
      </c>
      <c r="E14" t="inlineStr">
        <is>
          <t>The Corkboard Hub</t>
        </is>
      </c>
      <c r="F14" t="inlineStr">
        <is>
          <t>The Ski &amp; Inn</t>
        </is>
      </c>
      <c r="G14" t="inlineStr">
        <is>
          <t>Naomi's Listening Post</t>
        </is>
      </c>
      <c r="H14" t="inlineStr">
        <is>
          <t>The Institute for Tautological Studies</t>
        </is>
      </c>
      <c r="I14" t="inlineStr">
        <is>
          <t>The Museum of Unwanted Architecture</t>
        </is>
      </c>
      <c r="J14">
        <f>🎛️ CONTROL PANEL!B16</f>
        <v/>
      </c>
      <c r="K14">
        <f>SUMPRODUCT(--ISNUMBER(SEARCH(E14,'🔀 THE MANDELA'!$A$2:$A$200)),'🔀 THE MANDELA'!$F$2:$F$200)</f>
        <v/>
      </c>
      <c r="L14">
        <f>((XLOOKUP(F14,$E$4:$E$35,$K$4:$K$35,0))+(XLOOKUP(G14,$E$4:$E$35,$K$4:$K$35,0))+(XLOOKUP(H14,$E$4:$E$35,$K$4:$K$35,0))+(XLOOKUP(I14,$E$4:$E$35,$K$4:$K$35,0)))/MAX(1,(F14&lt;&gt;"")+(G14&lt;&gt;"")+(H14&lt;&gt;"")+(I14&lt;&gt;""))</f>
        <v/>
      </c>
      <c r="M14">
        <f>K14 + (🎛️ CONTROL PANEL!B15*(1-J14)*L14)</f>
        <v/>
      </c>
    </row>
    <row r="15">
      <c r="A15" t="inlineStr">
        <is>
          <t>N12</t>
        </is>
      </c>
      <c r="B15" t="inlineStr">
        <is>
          <t>Further Review Rd</t>
        </is>
      </c>
      <c r="C15" t="inlineStr">
        <is>
          <t>Spontaneous Generation Path</t>
        </is>
      </c>
      <c r="D15" t="inlineStr">
        <is>
          <t>E5</t>
        </is>
      </c>
      <c r="E15" t="inlineStr">
        <is>
          <t>The Museum of Unwanted Architecture</t>
        </is>
      </c>
      <c r="F15" t="inlineStr">
        <is>
          <t>The Perceptual Shift Drive-In</t>
        </is>
      </c>
      <c r="G15" t="inlineStr">
        <is>
          <t>The Nomad Encampment</t>
        </is>
      </c>
      <c r="H15" t="inlineStr">
        <is>
          <t>The Corkboard Hub</t>
        </is>
      </c>
      <c r="I15" t="inlineStr">
        <is>
          <t>The Port Meridian Yacht Club</t>
        </is>
      </c>
      <c r="J15">
        <f>🎛️ CONTROL PANEL!B16</f>
        <v/>
      </c>
      <c r="K15">
        <f>SUMPRODUCT(--ISNUMBER(SEARCH(E15,'🔀 THE MANDELA'!$A$2:$A$200)),'🔀 THE MANDELA'!$F$2:$F$200)</f>
        <v/>
      </c>
      <c r="L15">
        <f>((XLOOKUP(F15,$E$4:$E$35,$K$4:$K$35,0))+(XLOOKUP(G15,$E$4:$E$35,$K$4:$K$35,0))+(XLOOKUP(H15,$E$4:$E$35,$K$4:$K$35,0))+(XLOOKUP(I15,$E$4:$E$35,$K$4:$K$35,0)))/MAX(1,(F15&lt;&gt;"")+(G15&lt;&gt;"")+(H15&lt;&gt;"")+(I15&lt;&gt;""))</f>
        <v/>
      </c>
      <c r="M15">
        <f>K15 + (🎛️ CONTROL PANEL!B15*(1-J15)*L15)</f>
        <v/>
      </c>
    </row>
    <row r="16">
      <c r="A16" t="inlineStr">
        <is>
          <t>N13</t>
        </is>
      </c>
      <c r="B16" t="inlineStr">
        <is>
          <t>Further Review Rd</t>
        </is>
      </c>
      <c r="C16" t="inlineStr">
        <is>
          <t>Vitalism Bend</t>
        </is>
      </c>
      <c r="D16" t="inlineStr">
        <is>
          <t>F5</t>
        </is>
      </c>
      <c r="E16" t="inlineStr">
        <is>
          <t>The Port Meridian Yacht Club</t>
        </is>
      </c>
      <c r="F16" t="inlineStr">
        <is>
          <t>The Hermitage of Provisional Conclusions</t>
        </is>
      </c>
      <c r="G16" t="inlineStr">
        <is>
          <t>Milo's Error Log</t>
        </is>
      </c>
      <c r="H16" t="inlineStr">
        <is>
          <t>The Museum of Unwanted Architecture</t>
        </is>
      </c>
      <c r="I16" t="inlineStr">
        <is>
          <t>The Office of Bureaucratic Tautology Office</t>
        </is>
      </c>
      <c r="J16">
        <f>🎛️ CONTROL PANEL!B16</f>
        <v/>
      </c>
      <c r="K16">
        <f>SUMPRODUCT(--ISNUMBER(SEARCH(E16,'🔀 THE MANDELA'!$A$2:$A$200)),'🔀 THE MANDELA'!$F$2:$F$200)</f>
        <v/>
      </c>
      <c r="L16">
        <f>((XLOOKUP(F16,$E$4:$E$35,$K$4:$K$35,0))+(XLOOKUP(G16,$E$4:$E$35,$K$4:$K$35,0))+(XLOOKUP(H16,$E$4:$E$35,$K$4:$K$35,0))+(XLOOKUP(I16,$E$4:$E$35,$K$4:$K$35,0)))/MAX(1,(F16&lt;&gt;"")+(G16&lt;&gt;"")+(H16&lt;&gt;"")+(I16&lt;&gt;""))</f>
        <v/>
      </c>
      <c r="M16">
        <f>K16 + (🎛️ CONTROL PANEL!B15*(1-J16)*L16)</f>
        <v/>
      </c>
    </row>
    <row r="17">
      <c r="A17" t="inlineStr">
        <is>
          <t>N14</t>
        </is>
      </c>
      <c r="B17" t="inlineStr">
        <is>
          <t>Further Review Rd</t>
        </is>
      </c>
      <c r="C17" t="inlineStr">
        <is>
          <t>Numerology Pass</t>
        </is>
      </c>
      <c r="D17" t="inlineStr">
        <is>
          <t>G5</t>
        </is>
      </c>
      <c r="E17" t="inlineStr">
        <is>
          <t>The Office of Bureaucratic Tautology Office</t>
        </is>
      </c>
      <c r="F17" t="inlineStr">
        <is>
          <t>The Port Meridian Transit Hub</t>
        </is>
      </c>
      <c r="G17" t="inlineStr">
        <is>
          <t>The Convergence Zone (East)</t>
        </is>
      </c>
      <c r="H17" t="inlineStr">
        <is>
          <t>The Port Meridian Yacht Club</t>
        </is>
      </c>
      <c r="I17" t="inlineStr">
        <is>
          <t>The Holdout Quarter</t>
        </is>
      </c>
      <c r="J17">
        <f>🎛️ CONTROL PANEL!B16</f>
        <v/>
      </c>
      <c r="K17">
        <f>SUMPRODUCT(--ISNUMBER(SEARCH(E17,'🔀 THE MANDELA'!$A$2:$A$200)),'🔀 THE MANDELA'!$F$2:$F$200)</f>
        <v/>
      </c>
      <c r="L17">
        <f>((XLOOKUP(F17,$E$4:$E$35,$K$4:$K$35,0))+(XLOOKUP(G17,$E$4:$E$35,$K$4:$K$35,0))+(XLOOKUP(H17,$E$4:$E$35,$K$4:$K$35,0))+(XLOOKUP(I17,$E$4:$E$35,$K$4:$K$35,0)))/MAX(1,(F17&lt;&gt;"")+(G17&lt;&gt;"")+(H17&lt;&gt;"")+(I17&lt;&gt;""))</f>
        <v/>
      </c>
      <c r="M17">
        <f>K17 + (🎛️ CONTROL PANEL!B15*(1-J17)*L17)</f>
        <v/>
      </c>
    </row>
    <row r="18">
      <c r="A18" t="inlineStr">
        <is>
          <t>N15</t>
        </is>
      </c>
      <c r="B18" t="inlineStr">
        <is>
          <t>Further Review Rd</t>
        </is>
      </c>
      <c r="C18" t="inlineStr">
        <is>
          <t>Mesmerism Row</t>
        </is>
      </c>
      <c r="D18" t="inlineStr">
        <is>
          <t>H5</t>
        </is>
      </c>
      <c r="E18" t="inlineStr">
        <is>
          <t>The Holdout Quarter</t>
        </is>
      </c>
      <c r="F18" t="inlineStr">
        <is>
          <t>The Optimistic Forecast Station</t>
        </is>
      </c>
      <c r="G18" t="inlineStr">
        <is>
          <t>Ella's Rewrite Studio</t>
        </is>
      </c>
      <c r="H18" t="inlineStr">
        <is>
          <t>The Office of Bureaucratic Tautology Office</t>
        </is>
      </c>
      <c r="I18" t="inlineStr">
        <is>
          <t>The Transplant Studios</t>
        </is>
      </c>
      <c r="J18">
        <f>🎛️ CONTROL PANEL!B16</f>
        <v/>
      </c>
      <c r="K18">
        <f>SUMPRODUCT(--ISNUMBER(SEARCH(E18,'🔀 THE MANDELA'!$A$2:$A$200)),'🔀 THE MANDELA'!$F$2:$F$200)</f>
        <v/>
      </c>
      <c r="L18">
        <f>((XLOOKUP(F18,$E$4:$E$35,$K$4:$K$35,0))+(XLOOKUP(G18,$E$4:$E$35,$K$4:$K$35,0))+(XLOOKUP(H18,$E$4:$E$35,$K$4:$K$35,0))+(XLOOKUP(I18,$E$4:$E$35,$K$4:$K$35,0)))/MAX(1,(F18&lt;&gt;"")+(G18&lt;&gt;"")+(H18&lt;&gt;"")+(I18&lt;&gt;""))</f>
        <v/>
      </c>
      <c r="M18">
        <f>K18 + (🎛️ CONTROL PANEL!B15*(1-J18)*L18)</f>
        <v/>
      </c>
    </row>
    <row r="19">
      <c r="A19" t="inlineStr">
        <is>
          <t>N16</t>
        </is>
      </c>
      <c r="B19" t="inlineStr">
        <is>
          <t>Further Review Rd</t>
        </is>
      </c>
      <c r="C19" t="inlineStr">
        <is>
          <t>Pataphysics Court</t>
        </is>
      </c>
      <c r="D19" t="inlineStr">
        <is>
          <t>I5</t>
        </is>
      </c>
      <c r="E19" t="inlineStr">
        <is>
          <t>The Transplant Studios</t>
        </is>
      </c>
      <c r="F19" t="inlineStr">
        <is>
          <t>The Threshold</t>
        </is>
      </c>
      <c r="G19" t="inlineStr">
        <is>
          <t>The Nomad Relay Station</t>
        </is>
      </c>
      <c r="H19" t="inlineStr">
        <is>
          <t>The Holdout Quarter</t>
        </is>
      </c>
      <c r="J19">
        <f>🎛️ CONTROL PANEL!B16</f>
        <v/>
      </c>
      <c r="K19">
        <f>SUMPRODUCT(--ISNUMBER(SEARCH(E19,'🔀 THE MANDELA'!$A$2:$A$200)),'🔀 THE MANDELA'!$F$2:$F$200)</f>
        <v/>
      </c>
      <c r="L19">
        <f>((XLOOKUP(F19,$E$4:$E$35,$K$4:$K$35,0))+(XLOOKUP(G19,$E$4:$E$35,$K$4:$K$35,0))+(XLOOKUP(H19,$E$4:$E$35,$K$4:$K$35,0))+(XLOOKUP(I19,$E$4:$E$35,$K$4:$K$35,0)))/MAX(1,(F19&lt;&gt;"")+(G19&lt;&gt;"")+(H19&lt;&gt;"")+(I19&lt;&gt;""))</f>
        <v/>
      </c>
      <c r="M19">
        <f>K19 + (🎛️ CONTROL PANEL!B15*(1-J19)*L19)</f>
        <v/>
      </c>
    </row>
    <row r="20">
      <c r="A20" t="inlineStr">
        <is>
          <t>N17</t>
        </is>
      </c>
      <c r="B20" t="inlineStr">
        <is>
          <t>Tabled for Discussion Blvd</t>
        </is>
      </c>
      <c r="C20" t="inlineStr">
        <is>
          <t>Phrenology Dr</t>
        </is>
      </c>
      <c r="D20" t="inlineStr">
        <is>
          <t>B6</t>
        </is>
      </c>
      <c r="E20" t="inlineStr">
        <is>
          <t>Jonah's Seam Point</t>
        </is>
      </c>
      <c r="F20" t="inlineStr">
        <is>
          <t>Grandpa Lou's Archive</t>
        </is>
      </c>
      <c r="G20" t="inlineStr">
        <is>
          <t>The Void Approach (West)</t>
        </is>
      </c>
      <c r="I20" t="inlineStr">
        <is>
          <t>The Convergence Zone (West)</t>
        </is>
      </c>
      <c r="J20">
        <f>🎛️ CONTROL PANEL!B16</f>
        <v/>
      </c>
      <c r="K20">
        <f>SUMPRODUCT(--ISNUMBER(SEARCH(E20,'🔀 THE MANDELA'!$A$2:$A$200)),'🔀 THE MANDELA'!$F$2:$F$200)</f>
        <v/>
      </c>
      <c r="L20">
        <f>((XLOOKUP(F20,$E$4:$E$35,$K$4:$K$35,0))+(XLOOKUP(G20,$E$4:$E$35,$K$4:$K$35,0))+(XLOOKUP(H20,$E$4:$E$35,$K$4:$K$35,0))+(XLOOKUP(I20,$E$4:$E$35,$K$4:$K$35,0)))/MAX(1,(F20&lt;&gt;"")+(G20&lt;&gt;"")+(H20&lt;&gt;"")+(I20&lt;&gt;""))</f>
        <v/>
      </c>
      <c r="M20">
        <f>K20 + (🎛️ CONTROL PANEL!B15*(1-J20)*L20)</f>
        <v/>
      </c>
    </row>
    <row r="21">
      <c r="A21" t="inlineStr">
        <is>
          <t>N18</t>
        </is>
      </c>
      <c r="B21" t="inlineStr">
        <is>
          <t>Tabled for Discussion Blvd</t>
        </is>
      </c>
      <c r="C21" t="inlineStr">
        <is>
          <t>Alchemy Way</t>
        </is>
      </c>
      <c r="D21" t="inlineStr">
        <is>
          <t>C6</t>
        </is>
      </c>
      <c r="E21" t="inlineStr">
        <is>
          <t>The Convergence Zone (West)</t>
        </is>
      </c>
      <c r="F21" t="inlineStr">
        <is>
          <t>The Institute for Tautological Studies</t>
        </is>
      </c>
      <c r="G21" t="inlineStr">
        <is>
          <t>The Submerged Archive</t>
        </is>
      </c>
      <c r="H21" t="inlineStr">
        <is>
          <t>Jonah's Seam Point</t>
        </is>
      </c>
      <c r="I21" t="inlineStr">
        <is>
          <t>Naomi's Listening Post</t>
        </is>
      </c>
      <c r="J21">
        <f>🎛️ CONTROL PANEL!B16</f>
        <v/>
      </c>
      <c r="K21">
        <f>SUMPRODUCT(--ISNUMBER(SEARCH(E21,'🔀 THE MANDELA'!$A$2:$A$200)),'🔀 THE MANDELA'!$F$2:$F$200)</f>
        <v/>
      </c>
      <c r="L21">
        <f>((XLOOKUP(F21,$E$4:$E$35,$K$4:$K$35,0))+(XLOOKUP(G21,$E$4:$E$35,$K$4:$K$35,0))+(XLOOKUP(H21,$E$4:$E$35,$K$4:$K$35,0))+(XLOOKUP(I21,$E$4:$E$35,$K$4:$K$35,0)))/MAX(1,(F21&lt;&gt;"")+(G21&lt;&gt;"")+(H21&lt;&gt;"")+(I21&lt;&gt;""))</f>
        <v/>
      </c>
      <c r="M21">
        <f>K21 + (🎛️ CONTROL PANEL!B15*(1-J21)*L21)</f>
        <v/>
      </c>
    </row>
    <row r="22">
      <c r="A22" t="inlineStr">
        <is>
          <t>N19</t>
        </is>
      </c>
      <c r="B22" t="inlineStr">
        <is>
          <t>Tabled for Discussion Blvd</t>
        </is>
      </c>
      <c r="C22" t="inlineStr">
        <is>
          <t>Aetheric Physics Ln</t>
        </is>
      </c>
      <c r="D22" t="inlineStr">
        <is>
          <t>D6</t>
        </is>
      </c>
      <c r="E22" t="inlineStr">
        <is>
          <t>Naomi's Listening Post</t>
        </is>
      </c>
      <c r="F22" t="inlineStr">
        <is>
          <t>The Corkboard Hub</t>
        </is>
      </c>
      <c r="G22" t="inlineStr">
        <is>
          <t>The Swing</t>
        </is>
      </c>
      <c r="H22" t="inlineStr">
        <is>
          <t>The Convergence Zone (West)</t>
        </is>
      </c>
      <c r="I22" t="inlineStr">
        <is>
          <t>The Nomad Encampment</t>
        </is>
      </c>
      <c r="J22">
        <f>🎛️ CONTROL PANEL!B16</f>
        <v/>
      </c>
      <c r="K22">
        <f>SUMPRODUCT(--ISNUMBER(SEARCH(E22,'🔀 THE MANDELA'!$A$2:$A$200)),'🔀 THE MANDELA'!$F$2:$F$200)</f>
        <v/>
      </c>
      <c r="L22">
        <f>((XLOOKUP(F22,$E$4:$E$35,$K$4:$K$35,0))+(XLOOKUP(G22,$E$4:$E$35,$K$4:$K$35,0))+(XLOOKUP(H22,$E$4:$E$35,$K$4:$K$35,0))+(XLOOKUP(I22,$E$4:$E$35,$K$4:$K$35,0)))/MAX(1,(F22&lt;&gt;"")+(G22&lt;&gt;"")+(H22&lt;&gt;"")+(I22&lt;&gt;""))</f>
        <v/>
      </c>
      <c r="M22">
        <f>K22 + (🎛️ CONTROL PANEL!B15*(1-J22)*L22)</f>
        <v/>
      </c>
    </row>
    <row r="23">
      <c r="A23" t="inlineStr">
        <is>
          <t>N20</t>
        </is>
      </c>
      <c r="B23" t="inlineStr">
        <is>
          <t>Tabled for Discussion Blvd</t>
        </is>
      </c>
      <c r="C23" t="inlineStr">
        <is>
          <t>Spontaneous Generation Path</t>
        </is>
      </c>
      <c r="D23" t="inlineStr">
        <is>
          <t>E6</t>
        </is>
      </c>
      <c r="E23" t="inlineStr">
        <is>
          <t>The Nomad Encampment</t>
        </is>
      </c>
      <c r="F23" t="inlineStr">
        <is>
          <t>The Museum of Unwanted Architecture</t>
        </is>
      </c>
      <c r="G23" t="inlineStr">
        <is>
          <t>The Parable 15 Site</t>
        </is>
      </c>
      <c r="H23" t="inlineStr">
        <is>
          <t>Naomi's Listening Post</t>
        </is>
      </c>
      <c r="I23" t="inlineStr">
        <is>
          <t>Milo's Error Log</t>
        </is>
      </c>
      <c r="J23">
        <f>🎛️ CONTROL PANEL!B16</f>
        <v/>
      </c>
      <c r="K23">
        <f>SUMPRODUCT(--ISNUMBER(SEARCH(E23,'🔀 THE MANDELA'!$A$2:$A$200)),'🔀 THE MANDELA'!$F$2:$F$200)</f>
        <v/>
      </c>
      <c r="L23">
        <f>((XLOOKUP(F23,$E$4:$E$35,$K$4:$K$35,0))+(XLOOKUP(G23,$E$4:$E$35,$K$4:$K$35,0))+(XLOOKUP(H23,$E$4:$E$35,$K$4:$K$35,0))+(XLOOKUP(I23,$E$4:$E$35,$K$4:$K$35,0)))/MAX(1,(F23&lt;&gt;"")+(G23&lt;&gt;"")+(H23&lt;&gt;"")+(I23&lt;&gt;""))</f>
        <v/>
      </c>
      <c r="M23">
        <f>K23 + (🎛️ CONTROL PANEL!B15*(1-J23)*L23)</f>
        <v/>
      </c>
    </row>
    <row r="24">
      <c r="A24" t="inlineStr">
        <is>
          <t>N21</t>
        </is>
      </c>
      <c r="B24" t="inlineStr">
        <is>
          <t>Tabled for Discussion Blvd</t>
        </is>
      </c>
      <c r="C24" t="inlineStr">
        <is>
          <t>Vitalism Bend</t>
        </is>
      </c>
      <c r="D24" t="inlineStr">
        <is>
          <t>F6</t>
        </is>
      </c>
      <c r="E24" t="inlineStr">
        <is>
          <t>Milo's Error Log</t>
        </is>
      </c>
      <c r="F24" t="inlineStr">
        <is>
          <t>The Port Meridian Yacht Club</t>
        </is>
      </c>
      <c r="G24" t="inlineStr">
        <is>
          <t>The Deep Memory Layer</t>
        </is>
      </c>
      <c r="H24" t="inlineStr">
        <is>
          <t>The Nomad Encampment</t>
        </is>
      </c>
      <c r="I24" t="inlineStr">
        <is>
          <t>The Convergence Zone (East)</t>
        </is>
      </c>
      <c r="J24">
        <f>🎛️ CONTROL PANEL!B16</f>
        <v/>
      </c>
      <c r="K24">
        <f>SUMPRODUCT(--ISNUMBER(SEARCH(E24,'🔀 THE MANDELA'!$A$2:$A$200)),'🔀 THE MANDELA'!$F$2:$F$200)</f>
        <v/>
      </c>
      <c r="L24">
        <f>((XLOOKUP(F24,$E$4:$E$35,$K$4:$K$35,0))+(XLOOKUP(G24,$E$4:$E$35,$K$4:$K$35,0))+(XLOOKUP(H24,$E$4:$E$35,$K$4:$K$35,0))+(XLOOKUP(I24,$E$4:$E$35,$K$4:$K$35,0)))/MAX(1,(F24&lt;&gt;"")+(G24&lt;&gt;"")+(H24&lt;&gt;"")+(I24&lt;&gt;""))</f>
        <v/>
      </c>
      <c r="M24">
        <f>K24 + (🎛️ CONTROL PANEL!B15*(1-J24)*L24)</f>
        <v/>
      </c>
    </row>
    <row r="25">
      <c r="A25" t="inlineStr">
        <is>
          <t>N22</t>
        </is>
      </c>
      <c r="B25" t="inlineStr">
        <is>
          <t>Tabled for Discussion Blvd</t>
        </is>
      </c>
      <c r="C25" t="inlineStr">
        <is>
          <t>Numerology Pass</t>
        </is>
      </c>
      <c r="D25" t="inlineStr">
        <is>
          <t>G6</t>
        </is>
      </c>
      <c r="E25" t="inlineStr">
        <is>
          <t>The Convergence Zone (East)</t>
        </is>
      </c>
      <c r="F25" t="inlineStr">
        <is>
          <t>The Office of Bureaucratic Tautology Office</t>
        </is>
      </c>
      <c r="G25" t="inlineStr">
        <is>
          <t>The Void Threshold</t>
        </is>
      </c>
      <c r="H25" t="inlineStr">
        <is>
          <t>Milo's Error Log</t>
        </is>
      </c>
      <c r="I25" t="inlineStr">
        <is>
          <t>Ella's Rewrite Studio</t>
        </is>
      </c>
      <c r="J25">
        <f>🎛️ CONTROL PANEL!B16</f>
        <v/>
      </c>
      <c r="K25">
        <f>SUMPRODUCT(--ISNUMBER(SEARCH(E25,'🔀 THE MANDELA'!$A$2:$A$200)),'🔀 THE MANDELA'!$F$2:$F$200)</f>
        <v/>
      </c>
      <c r="L25">
        <f>((XLOOKUP(F25,$E$4:$E$35,$K$4:$K$35,0))+(XLOOKUP(G25,$E$4:$E$35,$K$4:$K$35,0))+(XLOOKUP(H25,$E$4:$E$35,$K$4:$K$35,0))+(XLOOKUP(I25,$E$4:$E$35,$K$4:$K$35,0)))/MAX(1,(F25&lt;&gt;"")+(G25&lt;&gt;"")+(H25&lt;&gt;"")+(I25&lt;&gt;""))</f>
        <v/>
      </c>
      <c r="M25">
        <f>K25 + (🎛️ CONTROL PANEL!B15*(1-J25)*L25)</f>
        <v/>
      </c>
    </row>
    <row r="26">
      <c r="A26" t="inlineStr">
        <is>
          <t>N23</t>
        </is>
      </c>
      <c r="B26" t="inlineStr">
        <is>
          <t>Tabled for Discussion Blvd</t>
        </is>
      </c>
      <c r="C26" t="inlineStr">
        <is>
          <t>Mesmerism Row</t>
        </is>
      </c>
      <c r="D26" t="inlineStr">
        <is>
          <t>H6</t>
        </is>
      </c>
      <c r="E26" t="inlineStr">
        <is>
          <t>Ella's Rewrite Studio</t>
        </is>
      </c>
      <c r="F26" t="inlineStr">
        <is>
          <t>The Holdout Quarter</t>
        </is>
      </c>
      <c r="G26" t="inlineStr">
        <is>
          <t>Archived Without Comment (Submerged)</t>
        </is>
      </c>
      <c r="H26" t="inlineStr">
        <is>
          <t>The Convergence Zone (East)</t>
        </is>
      </c>
      <c r="I26" t="inlineStr">
        <is>
          <t>The Nomad Relay Station</t>
        </is>
      </c>
      <c r="J26">
        <f>🎛️ CONTROL PANEL!B16</f>
        <v/>
      </c>
      <c r="K26">
        <f>SUMPRODUCT(--ISNUMBER(SEARCH(E26,'🔀 THE MANDELA'!$A$2:$A$200)),'🔀 THE MANDELA'!$F$2:$F$200)</f>
        <v/>
      </c>
      <c r="L26">
        <f>((XLOOKUP(F26,$E$4:$E$35,$K$4:$K$35,0))+(XLOOKUP(G26,$E$4:$E$35,$K$4:$K$35,0))+(XLOOKUP(H26,$E$4:$E$35,$K$4:$K$35,0))+(XLOOKUP(I26,$E$4:$E$35,$K$4:$K$35,0)))/MAX(1,(F26&lt;&gt;"")+(G26&lt;&gt;"")+(H26&lt;&gt;"")+(I26&lt;&gt;""))</f>
        <v/>
      </c>
      <c r="M26">
        <f>K26 + (🎛️ CONTROL PANEL!B15*(1-J26)*L26)</f>
        <v/>
      </c>
    </row>
    <row r="27">
      <c r="A27" t="inlineStr">
        <is>
          <t>N24</t>
        </is>
      </c>
      <c r="B27" t="inlineStr">
        <is>
          <t>Tabled for Discussion Blvd</t>
        </is>
      </c>
      <c r="C27" t="inlineStr">
        <is>
          <t>Pataphysics Court</t>
        </is>
      </c>
      <c r="D27" t="inlineStr">
        <is>
          <t>I6</t>
        </is>
      </c>
      <c r="E27" t="inlineStr">
        <is>
          <t>The Nomad Relay Station</t>
        </is>
      </c>
      <c r="F27" t="inlineStr">
        <is>
          <t>The Transplant Studios</t>
        </is>
      </c>
      <c r="G27" t="inlineStr">
        <is>
          <t>The Void (The Inadvertent Ocean)</t>
        </is>
      </c>
      <c r="H27" t="inlineStr">
        <is>
          <t>Ella's Rewrite Studio</t>
        </is>
      </c>
      <c r="J27">
        <f>🎛️ CONTROL PANEL!B16</f>
        <v/>
      </c>
      <c r="K27">
        <f>SUMPRODUCT(--ISNUMBER(SEARCH(E27,'🔀 THE MANDELA'!$A$2:$A$200)),'🔀 THE MANDELA'!$F$2:$F$200)</f>
        <v/>
      </c>
      <c r="L27">
        <f>((XLOOKUP(F27,$E$4:$E$35,$K$4:$K$35,0))+(XLOOKUP(G27,$E$4:$E$35,$K$4:$K$35,0))+(XLOOKUP(H27,$E$4:$E$35,$K$4:$K$35,0))+(XLOOKUP(I27,$E$4:$E$35,$K$4:$K$35,0)))/MAX(1,(F27&lt;&gt;"")+(G27&lt;&gt;"")+(H27&lt;&gt;"")+(I27&lt;&gt;""))</f>
        <v/>
      </c>
      <c r="M27">
        <f>K27 + (🎛️ CONTROL PANEL!B15*(1-J27)*L27)</f>
        <v/>
      </c>
    </row>
    <row r="28">
      <c r="A28" t="inlineStr">
        <is>
          <t>N25</t>
        </is>
      </c>
      <c r="B28" t="inlineStr">
        <is>
          <t>Archived Without Comment Ave</t>
        </is>
      </c>
      <c r="C28" t="inlineStr">
        <is>
          <t>Phrenology Dr</t>
        </is>
      </c>
      <c r="D28" t="inlineStr">
        <is>
          <t>B7</t>
        </is>
      </c>
      <c r="E28" t="inlineStr">
        <is>
          <t>The Void Approach (West)</t>
        </is>
      </c>
      <c r="F28" t="inlineStr">
        <is>
          <t>Jonah's Seam Point</t>
        </is>
      </c>
      <c r="I28" t="inlineStr">
        <is>
          <t>The Submerged Archive</t>
        </is>
      </c>
      <c r="J28">
        <f>🎛️ CONTROL PANEL!B16</f>
        <v/>
      </c>
      <c r="K28">
        <f>SUMPRODUCT(--ISNUMBER(SEARCH(E28,'🔀 THE MANDELA'!$A$2:$A$200)),'🔀 THE MANDELA'!$F$2:$F$200)</f>
        <v/>
      </c>
      <c r="L28">
        <f>((XLOOKUP(F28,$E$4:$E$35,$K$4:$K$35,0))+(XLOOKUP(G28,$E$4:$E$35,$K$4:$K$35,0))+(XLOOKUP(H28,$E$4:$E$35,$K$4:$K$35,0))+(XLOOKUP(I28,$E$4:$E$35,$K$4:$K$35,0)))/MAX(1,(F28&lt;&gt;"")+(G28&lt;&gt;"")+(H28&lt;&gt;"")+(I28&lt;&gt;""))</f>
        <v/>
      </c>
      <c r="M28">
        <f>K28 + (🎛️ CONTROL PANEL!B15*(1-J28)*L28)</f>
        <v/>
      </c>
    </row>
    <row r="29">
      <c r="A29" t="inlineStr">
        <is>
          <t>N26</t>
        </is>
      </c>
      <c r="B29" t="inlineStr">
        <is>
          <t>Archived Without Comment Ave</t>
        </is>
      </c>
      <c r="C29" t="inlineStr">
        <is>
          <t>Alchemy Way</t>
        </is>
      </c>
      <c r="D29" t="inlineStr">
        <is>
          <t>C7</t>
        </is>
      </c>
      <c r="E29" t="inlineStr">
        <is>
          <t>The Submerged Archive</t>
        </is>
      </c>
      <c r="F29" t="inlineStr">
        <is>
          <t>The Convergence Zone (West)</t>
        </is>
      </c>
      <c r="H29" t="inlineStr">
        <is>
          <t>The Void Approach (West)</t>
        </is>
      </c>
      <c r="I29" t="inlineStr">
        <is>
          <t>The Swing</t>
        </is>
      </c>
      <c r="J29">
        <f>🎛️ CONTROL PANEL!B16</f>
        <v/>
      </c>
      <c r="K29">
        <f>SUMPRODUCT(--ISNUMBER(SEARCH(E29,'🔀 THE MANDELA'!$A$2:$A$200)),'🔀 THE MANDELA'!$F$2:$F$200)</f>
        <v/>
      </c>
      <c r="L29">
        <f>((XLOOKUP(F29,$E$4:$E$35,$K$4:$K$35,0))+(XLOOKUP(G29,$E$4:$E$35,$K$4:$K$35,0))+(XLOOKUP(H29,$E$4:$E$35,$K$4:$K$35,0))+(XLOOKUP(I29,$E$4:$E$35,$K$4:$K$35,0)))/MAX(1,(F29&lt;&gt;"")+(G29&lt;&gt;"")+(H29&lt;&gt;"")+(I29&lt;&gt;""))</f>
        <v/>
      </c>
      <c r="M29">
        <f>K29 + (🎛️ CONTROL PANEL!B15*(1-J29)*L29)</f>
        <v/>
      </c>
    </row>
    <row r="30">
      <c r="A30" t="inlineStr">
        <is>
          <t>N27</t>
        </is>
      </c>
      <c r="B30" t="inlineStr">
        <is>
          <t>Archived Without Comment Ave</t>
        </is>
      </c>
      <c r="C30" t="inlineStr">
        <is>
          <t>Aetheric Physics Ln</t>
        </is>
      </c>
      <c r="D30" t="inlineStr">
        <is>
          <t>D7</t>
        </is>
      </c>
      <c r="E30" t="inlineStr">
        <is>
          <t>The Swing</t>
        </is>
      </c>
      <c r="F30" t="inlineStr">
        <is>
          <t>Naomi's Listening Post</t>
        </is>
      </c>
      <c r="H30" t="inlineStr">
        <is>
          <t>The Submerged Archive</t>
        </is>
      </c>
      <c r="I30" t="inlineStr">
        <is>
          <t>The Parable 15 Site</t>
        </is>
      </c>
      <c r="J30">
        <f>🎛️ CONTROL PANEL!B16</f>
        <v/>
      </c>
      <c r="K30">
        <f>SUMPRODUCT(--ISNUMBER(SEARCH(E30,'🔀 THE MANDELA'!$A$2:$A$200)),'🔀 THE MANDELA'!$F$2:$F$200)</f>
        <v/>
      </c>
      <c r="L30">
        <f>((XLOOKUP(F30,$E$4:$E$35,$K$4:$K$35,0))+(XLOOKUP(G30,$E$4:$E$35,$K$4:$K$35,0))+(XLOOKUP(H30,$E$4:$E$35,$K$4:$K$35,0))+(XLOOKUP(I30,$E$4:$E$35,$K$4:$K$35,0)))/MAX(1,(F30&lt;&gt;"")+(G30&lt;&gt;"")+(H30&lt;&gt;"")+(I30&lt;&gt;""))</f>
        <v/>
      </c>
      <c r="M30">
        <f>K30 + (🎛️ CONTROL PANEL!B15*(1-J30)*L30)</f>
        <v/>
      </c>
    </row>
    <row r="31">
      <c r="A31" t="inlineStr">
        <is>
          <t>N28</t>
        </is>
      </c>
      <c r="B31" t="inlineStr">
        <is>
          <t>Archived Without Comment Ave</t>
        </is>
      </c>
      <c r="C31" t="inlineStr">
        <is>
          <t>Spontaneous Generation Path</t>
        </is>
      </c>
      <c r="D31" t="inlineStr">
        <is>
          <t>E7</t>
        </is>
      </c>
      <c r="E31" t="inlineStr">
        <is>
          <t>The Parable 15 Site</t>
        </is>
      </c>
      <c r="F31" t="inlineStr">
        <is>
          <t>The Nomad Encampment</t>
        </is>
      </c>
      <c r="H31" t="inlineStr">
        <is>
          <t>The Swing</t>
        </is>
      </c>
      <c r="I31" t="inlineStr">
        <is>
          <t>The Deep Memory Layer</t>
        </is>
      </c>
      <c r="J31">
        <f>🎛️ CONTROL PANEL!B16</f>
        <v/>
      </c>
      <c r="K31">
        <f>SUMPRODUCT(--ISNUMBER(SEARCH(E31,'🔀 THE MANDELA'!$A$2:$A$200)),'🔀 THE MANDELA'!$F$2:$F$200)</f>
        <v/>
      </c>
      <c r="L31">
        <f>((XLOOKUP(F31,$E$4:$E$35,$K$4:$K$35,0))+(XLOOKUP(G31,$E$4:$E$35,$K$4:$K$35,0))+(XLOOKUP(H31,$E$4:$E$35,$K$4:$K$35,0))+(XLOOKUP(I31,$E$4:$E$35,$K$4:$K$35,0)))/MAX(1,(F31&lt;&gt;"")+(G31&lt;&gt;"")+(H31&lt;&gt;"")+(I31&lt;&gt;""))</f>
        <v/>
      </c>
      <c r="M31">
        <f>K31 + (🎛️ CONTROL PANEL!B15*(1-J31)*L31)</f>
        <v/>
      </c>
    </row>
    <row r="32">
      <c r="A32" t="inlineStr">
        <is>
          <t>N29</t>
        </is>
      </c>
      <c r="B32" t="inlineStr">
        <is>
          <t>Archived Without Comment Ave</t>
        </is>
      </c>
      <c r="C32" t="inlineStr">
        <is>
          <t>Vitalism Bend</t>
        </is>
      </c>
      <c r="D32" t="inlineStr">
        <is>
          <t>F7</t>
        </is>
      </c>
      <c r="E32" t="inlineStr">
        <is>
          <t>The Deep Memory Layer</t>
        </is>
      </c>
      <c r="F32" t="inlineStr">
        <is>
          <t>Milo's Error Log</t>
        </is>
      </c>
      <c r="H32" t="inlineStr">
        <is>
          <t>The Parable 15 Site</t>
        </is>
      </c>
      <c r="I32" t="inlineStr">
        <is>
          <t>The Void Threshold</t>
        </is>
      </c>
      <c r="J32">
        <f>🎛️ CONTROL PANEL!B16</f>
        <v/>
      </c>
      <c r="K32">
        <f>SUMPRODUCT(--ISNUMBER(SEARCH(E32,'🔀 THE MANDELA'!$A$2:$A$200)),'🔀 THE MANDELA'!$F$2:$F$200)</f>
        <v/>
      </c>
      <c r="L32">
        <f>((XLOOKUP(F32,$E$4:$E$35,$K$4:$K$35,0))+(XLOOKUP(G32,$E$4:$E$35,$K$4:$K$35,0))+(XLOOKUP(H32,$E$4:$E$35,$K$4:$K$35,0))+(XLOOKUP(I32,$E$4:$E$35,$K$4:$K$35,0)))/MAX(1,(F32&lt;&gt;"")+(G32&lt;&gt;"")+(H32&lt;&gt;"")+(I32&lt;&gt;""))</f>
        <v/>
      </c>
      <c r="M32">
        <f>K32 + (🎛️ CONTROL PANEL!B15*(1-J32)*L32)</f>
        <v/>
      </c>
    </row>
    <row r="33">
      <c r="A33" t="inlineStr">
        <is>
          <t>N30</t>
        </is>
      </c>
      <c r="B33" t="inlineStr">
        <is>
          <t>Archived Without Comment Ave</t>
        </is>
      </c>
      <c r="C33" t="inlineStr">
        <is>
          <t>Numerology Pass</t>
        </is>
      </c>
      <c r="D33" t="inlineStr">
        <is>
          <t>G7</t>
        </is>
      </c>
      <c r="E33" t="inlineStr">
        <is>
          <t>The Void Threshold</t>
        </is>
      </c>
      <c r="F33" t="inlineStr">
        <is>
          <t>The Convergence Zone (East)</t>
        </is>
      </c>
      <c r="H33" t="inlineStr">
        <is>
          <t>The Deep Memory Layer</t>
        </is>
      </c>
      <c r="I33" t="inlineStr">
        <is>
          <t>Archived Without Comment (Submerged)</t>
        </is>
      </c>
      <c r="J33">
        <f>🎛️ CONTROL PANEL!B16</f>
        <v/>
      </c>
      <c r="K33">
        <f>SUMPRODUCT(--ISNUMBER(SEARCH(E33,'🔀 THE MANDELA'!$A$2:$A$200)),'🔀 THE MANDELA'!$F$2:$F$200)</f>
        <v/>
      </c>
      <c r="L33">
        <f>((XLOOKUP(F33,$E$4:$E$35,$K$4:$K$35,0))+(XLOOKUP(G33,$E$4:$E$35,$K$4:$K$35,0))+(XLOOKUP(H33,$E$4:$E$35,$K$4:$K$35,0))+(XLOOKUP(I33,$E$4:$E$35,$K$4:$K$35,0)))/MAX(1,(F33&lt;&gt;"")+(G33&lt;&gt;"")+(H33&lt;&gt;"")+(I33&lt;&gt;""))</f>
        <v/>
      </c>
      <c r="M33">
        <f>K33 + (🎛️ CONTROL PANEL!B15*(1-J33)*L33)</f>
        <v/>
      </c>
    </row>
    <row r="34">
      <c r="A34" t="inlineStr">
        <is>
          <t>N31</t>
        </is>
      </c>
      <c r="B34" t="inlineStr">
        <is>
          <t>Archived Without Comment Ave</t>
        </is>
      </c>
      <c r="C34" t="inlineStr">
        <is>
          <t>Mesmerism Row</t>
        </is>
      </c>
      <c r="D34" t="inlineStr">
        <is>
          <t>H7</t>
        </is>
      </c>
      <c r="E34" t="inlineStr">
        <is>
          <t>Archived Without Comment (Submerged)</t>
        </is>
      </c>
      <c r="F34" t="inlineStr">
        <is>
          <t>Ella's Rewrite Studio</t>
        </is>
      </c>
      <c r="H34" t="inlineStr">
        <is>
          <t>The Void Threshold</t>
        </is>
      </c>
      <c r="I34" t="inlineStr">
        <is>
          <t>The Void (The Inadvertent Ocean)</t>
        </is>
      </c>
      <c r="J34">
        <f>🎛️ CONTROL PANEL!B16</f>
        <v/>
      </c>
      <c r="K34">
        <f>SUMPRODUCT(--ISNUMBER(SEARCH(E34,'🔀 THE MANDELA'!$A$2:$A$200)),'🔀 THE MANDELA'!$F$2:$F$200)</f>
        <v/>
      </c>
      <c r="L34">
        <f>((XLOOKUP(F34,$E$4:$E$35,$K$4:$K$35,0))+(XLOOKUP(G34,$E$4:$E$35,$K$4:$K$35,0))+(XLOOKUP(H34,$E$4:$E$35,$K$4:$K$35,0))+(XLOOKUP(I34,$E$4:$E$35,$K$4:$K$35,0)))/MAX(1,(F34&lt;&gt;"")+(G34&lt;&gt;"")+(H34&lt;&gt;"")+(I34&lt;&gt;""))</f>
        <v/>
      </c>
      <c r="M34">
        <f>K34 + (🎛️ CONTROL PANEL!B15*(1-J34)*L34)</f>
        <v/>
      </c>
    </row>
    <row r="35">
      <c r="A35" t="inlineStr">
        <is>
          <t>N32</t>
        </is>
      </c>
      <c r="B35" t="inlineStr">
        <is>
          <t>Archived Without Comment Ave</t>
        </is>
      </c>
      <c r="C35" t="inlineStr">
        <is>
          <t>Pataphysics Court</t>
        </is>
      </c>
      <c r="D35" t="inlineStr">
        <is>
          <t>I7</t>
        </is>
      </c>
      <c r="E35" t="inlineStr">
        <is>
          <t>The Void (The Inadvertent Ocean)</t>
        </is>
      </c>
      <c r="F35" t="inlineStr">
        <is>
          <t>The Nomad Relay Station</t>
        </is>
      </c>
      <c r="H35" t="inlineStr">
        <is>
          <t>Archived Without Comment (Submerged)</t>
        </is>
      </c>
      <c r="J35">
        <f>🎛️ CONTROL PANEL!B16</f>
        <v/>
      </c>
      <c r="K35">
        <f>SUMPRODUCT(--ISNUMBER(SEARCH(E35,'🔀 THE MANDELA'!$A$2:$A$200)),'🔀 THE MANDELA'!$F$2:$F$200)</f>
        <v/>
      </c>
      <c r="L35">
        <f>((XLOOKUP(F35,$E$4:$E$35,$K$4:$K$35,0))+(XLOOKUP(G35,$E$4:$E$35,$K$4:$K$35,0))+(XLOOKUP(H35,$E$4:$E$35,$K$4:$K$35,0))+(XLOOKUP(I35,$E$4:$E$35,$K$4:$K$35,0)))/MAX(1,(F35&lt;&gt;"")+(G35&lt;&gt;"")+(H35&lt;&gt;"")+(I35&lt;&gt;""))</f>
        <v/>
      </c>
      <c r="M35">
        <f>K35 + (🎛️ CONTROL PANEL!B15*(1-J35)*L35)</f>
        <v/>
      </c>
    </row>
  </sheetData>
  <pageMargins left="0.75" right="0.75" top="1" bottom="1" header="0.5" footer="0.5"/>
</worksheet>
</file>

<file path=xl/worksheets/sheet6.xml><?xml version="1.0" encoding="utf-8"?>
<worksheet xmlns="http://schemas.openxmlformats.org/spreadsheetml/2006/main">
  <sheetPr>
    <tabColor rgb="0006B6D4"/>
    <outlinePr summaryBelow="1" summaryRight="1"/>
    <pageSetUpPr/>
  </sheetPr>
  <dimension ref="A1:K9"/>
  <sheetViews>
    <sheetView showGridLines="0" workbookViewId="0">
      <pane ySplit="2" topLeftCell="A3" activePane="bottomLeft" state="frozen"/>
      <selection pane="bottomLeft" activeCell="A1" sqref="A1"/>
    </sheetView>
  </sheetViews>
  <sheetFormatPr baseColWidth="8" defaultRowHeight="15"/>
  <cols>
    <col width="22" customWidth="1" min="1" max="1"/>
    <col width="12" customWidth="1" min="2" max="2"/>
    <col width="14" customWidth="1" min="3" max="3"/>
    <col width="20" customWidth="1" min="4" max="4"/>
    <col width="28" customWidth="1" min="5" max="5"/>
    <col width="30" customWidth="1" min="6" max="6"/>
    <col width="30" customWidth="1" min="7" max="7"/>
    <col width="30" customWidth="1" min="8" max="8"/>
    <col width="20" customWidth="1" min="9" max="9"/>
  </cols>
  <sheetData>
    <row r="1" ht="20" customHeight="1">
      <c r="A1" s="22" t="inlineStr">
        <is>
          <t>🧬  THE LEAPERS  ·  The Andersson Family  ·  Five Perceptions of One Reality</t>
        </is>
      </c>
      <c r="J1" t="inlineStr">
        <is>
          <t>FATIGUE INDEX</t>
        </is>
      </c>
      <c r="K1" t="inlineStr">
        <is>
          <t>ARC STATE</t>
        </is>
      </c>
    </row>
    <row r="2" ht="20" customHeight="1">
      <c r="A2" s="61" t="inlineStr">
        <is>
          <t>CHARACTER</t>
        </is>
      </c>
      <c r="B2" s="62" t="inlineStr">
        <is>
          <t>AGE</t>
        </is>
      </c>
      <c r="C2" s="63" t="inlineStr">
        <is>
          <t>FOCUS MODE</t>
        </is>
      </c>
      <c r="D2" s="64" t="inlineStr">
        <is>
          <t>CULTURAL ANCHOR</t>
        </is>
      </c>
      <c r="E2" s="65" t="inlineStr">
        <is>
          <t>PERCEPTUAL ABILITY</t>
        </is>
      </c>
      <c r="F2" s="66" t="inlineStr">
        <is>
          <t>WHAT THEY HEAR IN THE CHIRP</t>
        </is>
      </c>
      <c r="G2" s="67" t="inlineStr">
        <is>
          <t>SHADOW / FEAR</t>
        </is>
      </c>
      <c r="H2" s="68" t="inlineStr">
        <is>
          <t>LEAPER ROLE</t>
        </is>
      </c>
      <c r="I2" s="69" t="inlineStr">
        <is>
          <t>CURRENT LOCATION</t>
        </is>
      </c>
      <c r="J2">
        <f>COUNTIF('⚡ THE GLITCHES'!C:C,"*"&amp;A2&amp;"*")</f>
        <v/>
      </c>
      <c r="K2">
        <f>IF(J2&gt;3,"Overextended Seer",IF(J2&gt;1,"Strained Interpreter","Emerging Potential"))</f>
        <v/>
      </c>
    </row>
    <row r="3" ht="55" customHeight="1">
      <c r="A3" s="70" t="inlineStr">
        <is>
          <t>GRANDPA LOU</t>
        </is>
      </c>
      <c r="B3" s="71" t="n">
        <v>67</v>
      </c>
      <c r="C3" s="72" t="inlineStr">
        <is>
          <t>ANCESTRAL</t>
        </is>
      </c>
      <c r="D3" s="73" t="inlineStr">
        <is>
          <t>Cahuilla / Retired Physics</t>
        </is>
      </c>
      <c r="E3" s="74" t="inlineStr">
        <is>
          <t>Protected Memory — Lou's recall cannot be overwritten by the Mandela Effect. He is the ground truth.</t>
        </is>
      </c>
      <c r="F3" s="75" t="inlineStr">
        <is>
          <t>A low, resonant tone from before the Inadvertent Ocean existed. He recognises it as the land's own frequency.</t>
        </is>
      </c>
      <c r="G3" s="76" t="inlineStr">
        <is>
          <t>The fear that the truth he holds will die with him. That no one will believe the archive.</t>
        </is>
      </c>
      <c r="H3" s="77" t="inlineStr">
        <is>
          <t>THE ANCHOR — The ground from which the leap is made.</t>
        </is>
      </c>
      <c r="I3" s="78" t="inlineStr">
        <is>
          <t>Grandpa Lou's Archive</t>
        </is>
      </c>
      <c r="J3">
        <f>COUNTIF('⚡ THE GLITCHES'!C:C,"*"&amp;A3&amp;"*")</f>
        <v/>
      </c>
      <c r="K3">
        <f>IF(J3&gt;3,"Overextended Seer",IF(J3&gt;1,"Strained Interpreter","Emerging Potential"))</f>
        <v/>
      </c>
    </row>
    <row r="4" ht="55" customHeight="1">
      <c r="A4" s="79" t="inlineStr">
        <is>
          <t>JONAH</t>
        </is>
      </c>
      <c r="B4" s="80" t="n">
        <v>43</v>
      </c>
      <c r="C4" s="81" t="inlineStr">
        <is>
          <t>SEAM</t>
        </is>
      </c>
      <c r="D4" s="82" t="inlineStr">
        <is>
          <t>Yoruba / Data Engineering</t>
        </is>
      </c>
      <c r="E4" s="83" t="inlineStr">
        <is>
          <t>Seam Sense — Jonah is placed at every weak point in reality before it opens. He does not choose to arrive. He simply does.</t>
        </is>
      </c>
      <c r="F4" s="84" t="inlineStr">
        <is>
          <t>A rhythmic pulse, like a heartbeat slightly out of sync. His Ori recognises it as a call to his chosen path.</t>
        </is>
      </c>
      <c r="G4" s="85" t="inlineStr">
        <is>
          <t>The fear of being perpetually displaced. Of never arriving anywhere by choice.</t>
        </is>
      </c>
      <c r="H4" s="86" t="inlineStr">
        <is>
          <t>THE NAVIGATOR — Attuned to the chirp, knows where the next gap will open.</t>
        </is>
      </c>
      <c r="I4" s="87" t="inlineStr">
        <is>
          <t>Jonah's Seam Point</t>
        </is>
      </c>
      <c r="J4">
        <f>COUNTIF('⚡ THE GLITCHES'!C:C,"*"&amp;A4&amp;"*")</f>
        <v/>
      </c>
      <c r="K4">
        <f>IF(J4&gt;3,"Overextended Seer",IF(J4&gt;1,"Strained Interpreter","Emerging Potential"))</f>
        <v/>
      </c>
    </row>
    <row r="5" ht="55" customHeight="1">
      <c r="A5" s="88" t="inlineStr">
        <is>
          <t>NAOMI</t>
        </is>
      </c>
      <c r="B5" s="71" t="n">
        <v>41</v>
      </c>
      <c r="C5" s="89" t="inlineStr">
        <is>
          <t>ECHO</t>
        </is>
      </c>
      <c r="D5" s="73" t="inlineStr">
        <is>
          <t>South Asian / Cognitive Therapy</t>
        </is>
      </c>
      <c r="E5" s="74" t="inlineStr">
        <is>
          <t>Pre-Echo Reception — Naomi receives the emotional residue of a glitch before it manifests. She feels it before she can name it.</t>
        </is>
      </c>
      <c r="F5" s="75" t="inlineStr">
        <is>
          <t>A harmonic overtone, like a singing bowl. She holds the tension between Maya (divine illusion) and clinical evidence.</t>
        </is>
      </c>
      <c r="G5" s="76" t="inlineStr">
        <is>
          <t>The fear that her feelings are symptoms, not signals. That she is the unreliable narrator of her own perception.</t>
        </is>
      </c>
      <c r="H5" s="90" t="inlineStr">
        <is>
          <t>THE RECEIVER — Hears the echoes across time before they have names.</t>
        </is>
      </c>
      <c r="I5" s="78" t="inlineStr">
        <is>
          <t>Naomi's Listening Post</t>
        </is>
      </c>
      <c r="J5">
        <f>COUNTIF('⚡ THE GLITCHES'!C:C,"*"&amp;A5&amp;"*")</f>
        <v/>
      </c>
      <c r="K5">
        <f>IF(J5&gt;3,"Overextended Seer",IF(J5&gt;1,"Strained Interpreter","Emerging Potential"))</f>
        <v/>
      </c>
    </row>
    <row r="6" ht="55" customHeight="1">
      <c r="A6" s="91" t="inlineStr">
        <is>
          <t>MILO</t>
        </is>
      </c>
      <c r="B6" s="80" t="n">
        <v>17</v>
      </c>
      <c r="C6" s="92" t="inlineStr">
        <is>
          <t>ERROR</t>
        </is>
      </c>
      <c r="D6" s="82" t="inlineStr">
        <is>
          <t>Mesoamerican / Tech-Intuitive</t>
        </is>
      </c>
      <c r="E6" s="83" t="inlineStr">
        <is>
          <t>Error Vision — Milo sees the architecture of glitches as visible code. He reads the error messages of reality.</t>
        </is>
      </c>
      <c r="F6" s="84" t="inlineStr">
        <is>
          <t>A rapid, staccato pattern. He hears it as a data packet — a compressed message from a cyclical time system.</t>
        </is>
      </c>
      <c r="G6" s="85" t="inlineStr">
        <is>
          <t>The fear that he is the only one who can see the errors, and that seeing them makes him responsible for fixing them.</t>
        </is>
      </c>
      <c r="H6" s="93" t="inlineStr">
        <is>
          <t>THE READER — Perceives the architecture of the gaps themselves.</t>
        </is>
      </c>
      <c r="I6" s="87" t="inlineStr">
        <is>
          <t>Milo's Error Log</t>
        </is>
      </c>
      <c r="J6">
        <f>COUNTIF('⚡ THE GLITCHES'!C:C,"*"&amp;A6&amp;"*")</f>
        <v/>
      </c>
      <c r="K6">
        <f>IF(J6&gt;3,"Overextended Seer",IF(J6&gt;1,"Strained Interpreter","Emerging Potential"))</f>
        <v/>
      </c>
    </row>
    <row r="7" ht="55" customHeight="1">
      <c r="A7" s="94" t="inlineStr">
        <is>
          <t>ELLA</t>
        </is>
      </c>
      <c r="B7" s="71" t="n">
        <v>11</v>
      </c>
      <c r="C7" s="95" t="inlineStr">
        <is>
          <t>LOVE</t>
        </is>
      </c>
      <c r="D7" s="73" t="inlineStr">
        <is>
          <t>Akan / Sankofa / Artist</t>
        </is>
      </c>
      <c r="E7" s="74" t="inlineStr">
        <is>
          <t>Reality Rewrite — Ella's art changes the world around it. She flies forward while looking backward. Sankofa in motion.</t>
        </is>
      </c>
      <c r="F7" s="75" t="inlineStr">
        <is>
          <t>A melody. Simple, complete, and slightly heartbreaking. She hums along without knowing she is doing it.</t>
        </is>
      </c>
      <c r="G7" s="76" t="inlineStr">
        <is>
          <t>The fear that love is not enough. That some things cannot be rewritten, only witnessed.</t>
        </is>
      </c>
      <c r="H7" s="96" t="inlineStr">
        <is>
          <t>THE REWRITER — Understands that the leap is, ultimately, an act of love.</t>
        </is>
      </c>
      <c r="I7" s="78" t="inlineStr">
        <is>
          <t>Ella's Rewrite Studio</t>
        </is>
      </c>
      <c r="J7">
        <f>COUNTIF('⚡ THE GLITCHES'!C:C,"*"&amp;A7&amp;"*")</f>
        <v/>
      </c>
      <c r="K7">
        <f>IF(J7&gt;3,"Overextended Seer",IF(J7&gt;1,"Strained Interpreter","Emerging Potential"))</f>
        <v/>
      </c>
    </row>
    <row r="8" ht="20" customHeight="1">
      <c r="J8">
        <f>COUNTIF('⚡ THE GLITCHES'!C:C,"*"&amp;A8&amp;"*")</f>
        <v/>
      </c>
      <c r="K8">
        <f>IF(J8&gt;3,"Overextended Seer",IF(J8&gt;1,"Strained Interpreter","Emerging Potential"))</f>
        <v/>
      </c>
    </row>
    <row r="9" ht="30" customHeight="1">
      <c r="A9" s="97" t="inlineStr">
        <is>
          <t>⚙️  FOCUS MODE is the active perceptual lens. Change a Leaper's FOCUS MODE to unlock hidden notes on THE MAP. Options: CURRENT · PAST · ANCESTRAL · SEAM · ECHO · ERROR · LOVE</t>
        </is>
      </c>
      <c r="J9">
        <f>COUNTIF('⚡ THE GLITCHES'!C:C,"*"&amp;A9&amp;"*")</f>
        <v/>
      </c>
      <c r="K9">
        <f>IF(J9&gt;3,"Overextended Seer",IF(J9&gt;1,"Strained Interpreter","Emerging Potential"))</f>
        <v/>
      </c>
    </row>
    <row r="10" ht="20" customHeight="1"/>
    <row r="11" ht="20" customHeight="1"/>
    <row r="12" ht="20" customHeight="1"/>
    <row r="13" ht="20" customHeight="1"/>
    <row r="14" ht="20" customHeight="1"/>
    <row r="15" ht="20" customHeight="1"/>
    <row r="16"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20" customHeight="1"/>
    <row r="36" ht="20" customHeight="1"/>
    <row r="37" ht="20" customHeight="1"/>
    <row r="38" ht="20" customHeight="1"/>
    <row r="39" ht="20" customHeight="1"/>
  </sheetData>
  <mergeCells count="2">
    <mergeCell ref="A1:I1"/>
    <mergeCell ref="A9:I9"/>
  </mergeCells>
  <conditionalFormatting sqref="J2:J9">
    <cfRule type="expression" priority="1" dxfId="10">
      <formula>$J2&gt;2</formula>
    </cfRule>
  </conditionalFormatting>
  <conditionalFormatting sqref="K2:K9">
    <cfRule type="expression" priority="2" dxfId="12">
      <formula>$K2="Overextended Seer"</formula>
    </cfRule>
  </conditionalFormatting>
  <dataValidations count="1">
    <dataValidation sqref="C3:C7" showDropDown="0" showInputMessage="0" showErrorMessage="0" allowBlank="0" type="list">
      <formula1>"CURRENT,PAST,ANCESTRAL,SEAM,ECHO,ERROR,LOVE"</formula1>
    </dataValidation>
  </dataValidations>
  <pageMargins left="0.75" right="0.75" top="1" bottom="1" header="0.5" footer="0.5"/>
</worksheet>
</file>

<file path=xl/worksheets/sheet7.xml><?xml version="1.0" encoding="utf-8"?>
<worksheet xmlns="http://schemas.openxmlformats.org/spreadsheetml/2006/main">
  <sheetPr>
    <tabColor rgb="00EF4444"/>
    <outlinePr summaryBelow="1" summaryRight="1"/>
    <pageSetUpPr/>
  </sheetPr>
  <dimension ref="A1:F25"/>
  <sheetViews>
    <sheetView showGridLines="0" workbookViewId="0">
      <pane ySplit="3" topLeftCell="A4" activePane="bottomLeft" state="frozen"/>
      <selection pane="bottomLeft" activeCell="A1" sqref="A1"/>
    </sheetView>
  </sheetViews>
  <sheetFormatPr baseColWidth="8" defaultRowHeight="15"/>
  <cols>
    <col width="36" customWidth="1" min="1" max="1"/>
    <col width="30" customWidth="1" min="2" max="2"/>
    <col width="30" customWidth="1" min="3" max="3"/>
    <col width="18" customWidth="1" min="4" max="4"/>
  </cols>
  <sheetData>
    <row r="1" ht="22" customHeight="1">
      <c r="A1" s="134" t="inlineStr">
        <is>
          <t>🔀  THE MANDELA EFFECT ENGINE  ·  Change a value. Change the world. This is not a bug.</t>
        </is>
      </c>
      <c r="F1" t="inlineStr">
        <is>
          <t>STRAIN WEIGHT</t>
        </is>
      </c>
    </row>
    <row r="2" ht="35" customHeight="1">
      <c r="A2" s="135" t="inlineStr">
        <is>
          <t>⚠️  WARNING: Values in the CURRENT REALITY column are live. Changing them will alter how the world describes itself. The ORIGINAL REALITY column is read-only memory. The DISCREPANCY column is the game.</t>
        </is>
      </c>
      <c r="F2">
        <f>IF(E2="HIGH",3,IF(E2="MEDIUM",2,IF(E2="LOW",1,0)))</f>
        <v/>
      </c>
    </row>
    <row r="3" ht="22" customHeight="1">
      <c r="A3" s="147" t="inlineStr">
        <is>
          <t>ELEMENT</t>
        </is>
      </c>
      <c r="B3" s="148" t="inlineStr">
        <is>
          <t>ORIGINAL REALITY</t>
        </is>
      </c>
      <c r="C3" s="149" t="inlineStr">
        <is>
          <t>CURRENT REALITY</t>
        </is>
      </c>
      <c r="D3" s="150" t="inlineStr">
        <is>
          <t>DISCREPANCY LEVEL</t>
        </is>
      </c>
      <c r="F3">
        <f>IF(E3="HIGH",3,IF(E3="MEDIUM",2,IF(E3="LOW",1,0)))</f>
        <v/>
      </c>
    </row>
    <row r="4" ht="22" customHeight="1">
      <c r="A4" s="132" t="inlineStr">
        <is>
          <t>Town motto (1929 prospectus)</t>
        </is>
      </c>
      <c r="B4" s="138" t="inlineStr">
        <is>
          <t>Port Meridian shall be the gateway to the Pacific and the crossroads of the world.</t>
        </is>
      </c>
      <c r="C4" s="75" t="inlineStr">
        <is>
          <t>Port Meridian shall be the gateway to the Pacific and the crossroads of the world.</t>
        </is>
      </c>
      <c r="D4" s="139">
        <f>IF(B4=C4,"NONE",IF(AND(ISNUMBER(IFERROR(VALUE(B4),NA())),ISNUMBER(IFERROR(VALUE(C4),NA()))),IF(ABS(VALUE(C4)-VALUE(B4))/MAX(ABS(VALUE(B4)),1)&gt;=0.2,"HIGH","MEDIUM"),"LOW"))</f>
        <v/>
      </c>
      <c r="F4">
        <f>IF(E4="HIGH",3,IF(E4="MEDIUM",2,IF(E4="LOW",1,0)))</f>
        <v/>
      </c>
    </row>
    <row r="5" ht="22" customHeight="1">
      <c r="A5" s="133" t="inlineStr">
        <is>
          <t>The Ski &amp; Inn sign color</t>
        </is>
      </c>
      <c r="B5" s="138" t="inlineStr">
        <is>
          <t>Red</t>
        </is>
      </c>
      <c r="C5" s="84" t="inlineStr">
        <is>
          <t>Red</t>
        </is>
      </c>
      <c r="D5" s="139">
        <f>IF(B5=C5,"NONE",IF(AND(ISNUMBER(IFERROR(VALUE(B5),NA())),ISNUMBER(IFERROR(VALUE(C5),NA()))),IF(ABS(VALUE(C5)-VALUE(B5))/MAX(ABS(VALUE(B5)),1)&gt;=0.2,"HIGH","MEDIUM"),"LOW"))</f>
        <v/>
      </c>
      <c r="F5">
        <f>IF(E5="HIGH",3,IF(E5="MEDIUM",2,IF(E5="LOW",1,0)))</f>
        <v/>
      </c>
    </row>
    <row r="6" ht="22" customHeight="1">
      <c r="A6" s="132" t="inlineStr">
        <is>
          <t>Grandpa Lou's jacket color</t>
        </is>
      </c>
      <c r="B6" s="138" t="inlineStr">
        <is>
          <t>Brown</t>
        </is>
      </c>
      <c r="C6" s="75" t="inlineStr">
        <is>
          <t>Brown</t>
        </is>
      </c>
      <c r="D6" s="139">
        <f>IF(B6=C6,"NONE",IF(AND(ISNUMBER(IFERROR(VALUE(B6),NA())),ISNUMBER(IFERROR(VALUE(C6),NA()))),IF(ABS(VALUE(C6)-VALUE(B6))/MAX(ABS(VALUE(B6)),1)&gt;=0.2,"HIGH","MEDIUM"),"LOW"))</f>
        <v/>
      </c>
      <c r="F6">
        <f>IF(E6="HIGH",3,IF(E6="MEDIUM",2,IF(E6="LOW",1,0)))</f>
        <v/>
      </c>
    </row>
    <row r="7" ht="22" customHeight="1">
      <c r="A7" s="133" t="inlineStr">
        <is>
          <t>The Trickster's name</t>
        </is>
      </c>
      <c r="B7" s="138" t="inlineStr">
        <is>
          <t>[REDACTED]</t>
        </is>
      </c>
      <c r="C7" s="84" t="inlineStr">
        <is>
          <t>[REDACTED]</t>
        </is>
      </c>
      <c r="D7" s="139">
        <f>IF(B7=C7,"NONE",IF(AND(ISNUMBER(IFERROR(VALUE(B7),NA())),ISNUMBER(IFERROR(VALUE(C7),NA()))),IF(ABS(VALUE(C7)-VALUE(B7))/MAX(ABS(VALUE(B7)),1)&gt;=0.2,"HIGH","MEDIUM"),"LOW"))</f>
        <v/>
      </c>
      <c r="F7">
        <f>IF(E7="HIGH",3,IF(E7="MEDIUM",2,IF(E7="LOW",1,0)))</f>
        <v/>
      </c>
    </row>
    <row r="8" ht="22" customHeight="1">
      <c r="A8" s="132" t="inlineStr">
        <is>
          <t>Population of Port Meridian (official)</t>
        </is>
      </c>
      <c r="B8" s="138" t="inlineStr">
        <is>
          <t>295</t>
        </is>
      </c>
      <c r="C8" s="75" t="inlineStr">
        <is>
          <t>295</t>
        </is>
      </c>
      <c r="D8" s="139">
        <f>IF(B8=C8,"NONE",IF(AND(ISNUMBER(IFERROR(VALUE(B8),NA())),ISNUMBER(IFERROR(VALUE(C8),NA()))),IF(ABS(VALUE(C8)-VALUE(B8))/MAX(ABS(VALUE(B8)),1)&gt;=0.2,"HIGH","MEDIUM"),"LOW"))</f>
        <v/>
      </c>
      <c r="F8">
        <f>IF(E8="HIGH",3,IF(E8="MEDIUM",2,IF(E8="LOW",1,0)))</f>
        <v/>
      </c>
    </row>
    <row r="9" ht="22" customHeight="1">
      <c r="A9" s="133" t="inlineStr">
        <is>
          <t>Population of Port Meridian (felt)</t>
        </is>
      </c>
      <c r="B9" s="138" t="inlineStr">
        <is>
          <t>Disputed</t>
        </is>
      </c>
      <c r="C9" s="84" t="inlineStr">
        <is>
          <t>Disputed</t>
        </is>
      </c>
      <c r="D9" s="139">
        <f>IF(B9=C9,"NONE",IF(AND(ISNUMBER(IFERROR(VALUE(B9),NA())),ISNUMBER(IFERROR(VALUE(C9),NA()))),IF(ABS(VALUE(C9)-VALUE(B9))/MAX(ABS(VALUE(B9)),1)&gt;=0.2,"HIGH","MEDIUM"),"LOW"))</f>
        <v/>
      </c>
      <c r="F9">
        <f>IF(E9="HIGH",3,IF(E9="MEDIUM",2,IF(E9="LOW",1,0)))</f>
        <v/>
      </c>
    </row>
    <row r="10" ht="22" customHeight="1">
      <c r="A10" s="132" t="inlineStr">
        <is>
          <t>The street formerly known as Phrenology Drive</t>
        </is>
      </c>
      <c r="B10" s="138" t="inlineStr">
        <is>
          <t>Phrenology Drive</t>
        </is>
      </c>
      <c r="C10" s="75" t="inlineStr">
        <is>
          <t>Phrenology Drive</t>
        </is>
      </c>
      <c r="D10" s="139">
        <f>IF(B10=C10,"NONE",IF(AND(ISNUMBER(IFERROR(VALUE(B10),NA())),ISNUMBER(IFERROR(VALUE(C10),NA()))),IF(ABS(VALUE(C10)-VALUE(B10))/MAX(ABS(VALUE(B10)),1)&gt;=0.2,"HIGH","MEDIUM"),"LOW"))</f>
        <v/>
      </c>
      <c r="F10">
        <f>IF(E10="HIGH",3,IF(E10="MEDIUM",2,IF(E10="LOW",1,0)))</f>
        <v/>
      </c>
    </row>
    <row r="11" ht="22" customHeight="1">
      <c r="A11" s="133" t="inlineStr">
        <is>
          <t>The street formerly known as Alchemy Way</t>
        </is>
      </c>
      <c r="B11" s="138" t="inlineStr">
        <is>
          <t>Alchemy Way</t>
        </is>
      </c>
      <c r="C11" s="84" t="inlineStr">
        <is>
          <t>Alchemy Way</t>
        </is>
      </c>
      <c r="D11" s="139">
        <f>IF(B11=C11,"NONE",IF(AND(ISNUMBER(IFERROR(VALUE(B11),NA())),ISNUMBER(IFERROR(VALUE(C11),NA()))),IF(ABS(VALUE(C11)-VALUE(B11))/MAX(ABS(VALUE(B11)),1)&gt;=0.2,"HIGH","MEDIUM"),"LOW"))</f>
        <v/>
      </c>
      <c r="F11">
        <f>IF(E11="HIGH",3,IF(E11="MEDIUM",2,IF(E11="LOW",1,0)))</f>
        <v/>
      </c>
    </row>
    <row r="12" ht="22" customHeight="1">
      <c r="A12" s="132" t="inlineStr">
        <is>
          <t>The Optimistic Forecast Station reading</t>
        </is>
      </c>
      <c r="B12" s="138" t="inlineStr">
        <is>
          <t>Conditions: Stable. Outlook: Improving. Confidence Level: High.</t>
        </is>
      </c>
      <c r="C12" s="75" t="inlineStr">
        <is>
          <t>Conditions: Stable. Outlook: Improving. Confidence Level: High.</t>
        </is>
      </c>
      <c r="D12" s="139">
        <f>IF(B12=C12,"NONE",IF(AND(ISNUMBER(IFERROR(VALUE(B12),NA())),ISNUMBER(IFERROR(VALUE(C12),NA()))),IF(ABS(VALUE(C12)-VALUE(B12))/MAX(ABS(VALUE(B12)),1)&gt;=0.2,"HIGH","MEDIUM"),"LOW"))</f>
        <v/>
      </c>
      <c r="F12">
        <f>IF(E12="HIGH",3,IF(E12="MEDIUM",2,IF(E12="LOW",1,0)))</f>
        <v/>
      </c>
    </row>
    <row r="13" ht="22" customHeight="1">
      <c r="A13" s="133" t="inlineStr">
        <is>
          <t>The Institute's motto</t>
        </is>
      </c>
      <c r="B13" s="138" t="inlineStr">
        <is>
          <t>It Is What It Is.</t>
        </is>
      </c>
      <c r="C13" s="84" t="inlineStr">
        <is>
          <t>It Is What It Is.</t>
        </is>
      </c>
      <c r="D13" s="139">
        <f>IF(B13=C13,"NONE",IF(AND(ISNUMBER(IFERROR(VALUE(B13),NA())),ISNUMBER(IFERROR(VALUE(C13),NA()))),IF(ABS(VALUE(C13)-VALUE(B13))/MAX(ABS(VALUE(B13)),1)&gt;=0.2,"HIGH","MEDIUM"),"LOW"))</f>
        <v/>
      </c>
      <c r="F13">
        <f>IF(E13="HIGH",3,IF(E13="MEDIUM",2,IF(E13="LOW",1,0)))</f>
        <v/>
      </c>
    </row>
    <row r="14" ht="22" customHeight="1">
      <c r="A14" s="132" t="inlineStr">
        <is>
          <t>The color of the Inadvertent Ocean</t>
        </is>
      </c>
      <c r="B14" s="138" t="inlineStr">
        <is>
          <t>The color of old mirrors</t>
        </is>
      </c>
      <c r="C14" s="75" t="inlineStr">
        <is>
          <t>The color of old mirrors</t>
        </is>
      </c>
      <c r="D14" s="139">
        <f>IF(B14=C14,"NONE",IF(AND(ISNUMBER(IFERROR(VALUE(B14),NA())),ISNUMBER(IFERROR(VALUE(C14),NA()))),IF(ABS(VALUE(C14)-VALUE(B14))/MAX(ABS(VALUE(B14)),1)&gt;=0.2,"HIGH","MEDIUM"),"LOW"))</f>
        <v/>
      </c>
      <c r="F14">
        <f>IF(E14="HIGH",3,IF(E14="MEDIUM",2,IF(E14="LOW",1,0)))</f>
        <v/>
      </c>
    </row>
    <row r="15" ht="22" customHeight="1">
      <c r="A15" s="133" t="inlineStr">
        <is>
          <t>The Swing's direction</t>
        </is>
      </c>
      <c r="B15" s="138" t="inlineStr">
        <is>
          <t>Toward the Void</t>
        </is>
      </c>
      <c r="C15" s="84" t="inlineStr">
        <is>
          <t>Toward the Void</t>
        </is>
      </c>
      <c r="D15" s="139">
        <f>IF(B15=C15,"NONE",IF(AND(ISNUMBER(IFERROR(VALUE(B15),NA())),ISNUMBER(IFERROR(VALUE(C15),NA()))),IF(ABS(VALUE(C15)-VALUE(B15))/MAX(ABS(VALUE(B15)),1)&gt;=0.2,"HIGH","MEDIUM"),"LOW"))</f>
        <v/>
      </c>
      <c r="F15">
        <f>IF(E15="HIGH",3,IF(E15="MEDIUM",2,IF(E15="LOW",1,0)))</f>
        <v/>
      </c>
    </row>
    <row r="16" ht="22" customHeight="1">
      <c r="A16" s="132" t="inlineStr">
        <is>
          <t>Ella's most recent painting subject</t>
        </is>
      </c>
      <c r="B16" s="138" t="inlineStr">
        <is>
          <t>The Grasshopper</t>
        </is>
      </c>
      <c r="C16" s="75" t="inlineStr">
        <is>
          <t>The Grasshopper</t>
        </is>
      </c>
      <c r="D16" s="139">
        <f>IF(B16=C16,"NONE",IF(AND(ISNUMBER(IFERROR(VALUE(B16),NA())),ISNUMBER(IFERROR(VALUE(C16),NA()))),IF(ABS(VALUE(C16)-VALUE(B16))/MAX(ABS(VALUE(B16)),1)&gt;=0.2,"HIGH","MEDIUM"),"LOW"))</f>
        <v/>
      </c>
      <c r="F16">
        <f>IF(E16="HIGH",3,IF(E16="MEDIUM",2,IF(E16="LOW",1,0)))</f>
        <v/>
      </c>
    </row>
    <row r="17" ht="22" customHeight="1">
      <c r="A17" s="133" t="inlineStr">
        <is>
          <t>Milo's error log entry count</t>
        </is>
      </c>
      <c r="B17" s="138" t="inlineStr">
        <is>
          <t>847</t>
        </is>
      </c>
      <c r="C17" s="84" t="inlineStr">
        <is>
          <t>847</t>
        </is>
      </c>
      <c r="D17" s="139">
        <f>IF(B17=C17,"NONE",IF(AND(ISNUMBER(IFERROR(VALUE(B17),NA())),ISNUMBER(IFERROR(VALUE(C17),NA()))),IF(ABS(VALUE(C17)-VALUE(B17))/MAX(ABS(VALUE(B17)),1)&gt;=0.2,"HIGH","MEDIUM"),"LOW"))</f>
        <v/>
      </c>
      <c r="F17">
        <f>IF(E17="HIGH",3,IF(E17="MEDIUM",2,IF(E17="LOW",1,0)))</f>
        <v/>
      </c>
    </row>
    <row r="18" ht="22" customHeight="1">
      <c r="A18" s="132" t="inlineStr">
        <is>
          <t>The last thing Naomi heard before she could name it</t>
        </is>
      </c>
      <c r="B18" s="138" t="inlineStr">
        <is>
          <t>A harmonic overtone, like a singing bowl.</t>
        </is>
      </c>
      <c r="C18" s="75" t="inlineStr">
        <is>
          <t>A harmonic overtone, like a singing bowl.</t>
        </is>
      </c>
      <c r="D18" s="139">
        <f>IF(B18=C18,"NONE",IF(AND(ISNUMBER(IFERROR(VALUE(B18),NA())),ISNUMBER(IFERROR(VALUE(C18),NA()))),IF(ABS(VALUE(C18)-VALUE(B18))/MAX(ABS(VALUE(B18)),1)&gt;=0.2,"HIGH","MEDIUM"),"LOW"))</f>
        <v/>
      </c>
      <c r="F18">
        <f>IF(E18="HIGH",3,IF(E18="MEDIUM",2,IF(E18="LOW",1,0)))</f>
        <v/>
      </c>
    </row>
    <row r="19" ht="22" customHeight="1">
      <c r="A19" s="133" t="inlineStr">
        <is>
          <t>Jonah's last known location before placement</t>
        </is>
      </c>
      <c r="B19" s="138" t="inlineStr">
        <is>
          <t>Home</t>
        </is>
      </c>
      <c r="C19" s="84" t="inlineStr">
        <is>
          <t>Home</t>
        </is>
      </c>
      <c r="D19" s="139">
        <f>IF(B19=C19,"NONE",IF(AND(ISNUMBER(IFERROR(VALUE(B19),NA())),ISNUMBER(IFERROR(VALUE(C19),NA()))),IF(ABS(VALUE(C19)-VALUE(B19))/MAX(ABS(VALUE(B19)),1)&gt;=0.2,"HIGH","MEDIUM"),"LOW"))</f>
        <v/>
      </c>
      <c r="F19">
        <f>IF(E19="HIGH",3,IF(E19="MEDIUM",2,IF(E19="LOW",1,0)))</f>
        <v/>
      </c>
    </row>
    <row r="20" ht="22" customHeight="1">
      <c r="A20" s="132" t="inlineStr">
        <is>
          <t>The Corkboard Hub — number of active case files</t>
        </is>
      </c>
      <c r="B20" s="138">
        <f>COUNTIF('⚡ THE GLITCHES'!G:G,"OPEN")</f>
        <v/>
      </c>
      <c r="C20" s="75">
        <f>COUNTIF('⚡ THE GLITCHES'!G:G,"OPEN")</f>
        <v/>
      </c>
      <c r="D20" s="44">
        <f>IF(B20=C20,"NONE",IF(AND(ISNUMBER(IFERROR(VALUE(B20),NA())),ISNUMBER(IFERROR(VALUE(C20),NA()))),IF(ABS(VALUE(C20)-VALUE(B20))/MAX(ABS(VALUE(B20)),1)&gt;=0.2,"HIGH","MEDIUM"),"LOW"))</f>
        <v/>
      </c>
      <c r="F20">
        <f>IF(E20="HIGH",3,IF(E20="MEDIUM",2,IF(E20="LOW",1,0)))</f>
        <v/>
      </c>
    </row>
    <row r="21" ht="22" customHeight="1">
      <c r="A21" s="133" t="inlineStr">
        <is>
          <t>The Grasshopper's last audible chirp</t>
        </is>
      </c>
      <c r="B21" s="138" t="inlineStr">
        <is>
          <t>Before Glitch #14</t>
        </is>
      </c>
      <c r="C21" s="84" t="inlineStr">
        <is>
          <t>Before Glitch #14</t>
        </is>
      </c>
      <c r="D21" s="139">
        <f>IF(B21=C21,"NONE",IF(AND(ISNUMBER(IFERROR(VALUE(B21),NA())),ISNUMBER(IFERROR(VALUE(C21),NA()))),IF(ABS(VALUE(C21)-VALUE(B21))/MAX(ABS(VALUE(B21)),1)&gt;=0.2,"HIGH","MEDIUM"),"LOW"))</f>
        <v/>
      </c>
      <c r="F21">
        <f>IF(E21="HIGH",3,IF(E21="MEDIUM",2,IF(E21="LOW",1,0)))</f>
        <v/>
      </c>
    </row>
    <row r="22" ht="22" customHeight="1">
      <c r="A22" s="132" t="inlineStr">
        <is>
          <t>The Transit Hub — last announced arrival</t>
        </is>
      </c>
      <c r="B22" s="138" t="inlineStr">
        <is>
          <t>The 4:17 to Everywhere (On Time)</t>
        </is>
      </c>
      <c r="C22" s="75" t="inlineStr">
        <is>
          <t>The 4:17 to Everywhere (On Time)</t>
        </is>
      </c>
      <c r="D22" s="139">
        <f>IF(B22=C22,"NONE",IF(AND(ISNUMBER(IFERROR(VALUE(B22),NA())),ISNUMBER(IFERROR(VALUE(C22),NA()))),IF(ABS(VALUE(C22)-VALUE(B22))/MAX(ABS(VALUE(B22)),1)&gt;=0.2,"HIGH","MEDIUM"),"LOW"))</f>
        <v/>
      </c>
      <c r="F22">
        <f>IF(E22="HIGH",3,IF(E22="MEDIUM",2,IF(E22="LOW",1,0)))</f>
        <v/>
      </c>
    </row>
    <row r="23" ht="22" customHeight="1">
      <c r="A23" s="133" t="inlineStr">
        <is>
          <t>The Office of Bureaucratic Tautology Office — current state</t>
        </is>
      </c>
      <c r="B23" s="138" t="inlineStr">
        <is>
          <t>Closed</t>
        </is>
      </c>
      <c r="C23" s="84" t="inlineStr">
        <is>
          <t>Closed</t>
        </is>
      </c>
      <c r="D23" s="139">
        <f>IF(B23=C23,"NONE",IF(AND(ISNUMBER(IFERROR(VALUE(B23),NA())),ISNUMBER(IFERROR(VALUE(C23),NA()))),IF(ABS(VALUE(C23)-VALUE(B23))/MAX(ABS(VALUE(B23)),1)&gt;=0.2,"HIGH","MEDIUM"),"LOW"))</f>
        <v/>
      </c>
      <c r="F23">
        <f>IF(E23="HIGH",3,IF(E23="MEDIUM",2,IF(E23="LOW",1,0)))</f>
        <v/>
      </c>
    </row>
    <row r="24" ht="22" customHeight="1">
      <c r="F24">
        <f>IF(E24="HIGH",3,IF(E24="MEDIUM",2,IF(E24="LOW",1,0)))</f>
        <v/>
      </c>
    </row>
    <row r="25" ht="50" customHeight="1">
      <c r="A25" s="140" t="inlineStr">
        <is>
          <t>🦗  HOW TO PLAY THIS TAB: Edit any value in the CURRENT REALITY column. Then return to THE MAP, THE LEAPERS, or THE GLITCHES and notice what has changed. The DISCREPANCY LEVEL will update when you change the formula in column D to reflect the magnitude of the shift. NONE → LOW → MEDIUM → HIGH → EXTREME. The world is watching.</t>
        </is>
      </c>
      <c r="F25">
        <f>IF(E25="HIGH",3,IF(E25="MEDIUM",2,IF(E25="LOW",1,0)))</f>
        <v/>
      </c>
    </row>
    <row r="26" ht="22" customHeight="1"/>
    <row r="27" ht="22" customHeight="1"/>
    <row r="28" ht="22" customHeight="1"/>
    <row r="29" ht="22" customHeight="1"/>
    <row r="30" ht="22" customHeight="1"/>
    <row r="31" ht="22" customHeight="1"/>
    <row r="32" ht="22" customHeight="1"/>
    <row r="33" ht="22" customHeight="1"/>
    <row r="34" ht="22" customHeight="1"/>
    <row r="35" ht="22" customHeight="1"/>
    <row r="36" ht="22" customHeight="1"/>
    <row r="37" ht="22" customHeight="1"/>
    <row r="38" ht="22" customHeight="1"/>
    <row r="39" ht="22" customHeight="1"/>
  </sheetData>
  <mergeCells count="3">
    <mergeCell ref="A1:D1"/>
    <mergeCell ref="A25:D25"/>
    <mergeCell ref="A2:D2"/>
  </mergeCells>
  <conditionalFormatting sqref="A4:D23">
    <cfRule type="expression" priority="1" dxfId="4">
      <formula>$D4="LOW"</formula>
    </cfRule>
    <cfRule type="expression" priority="2" dxfId="5">
      <formula>$D4="MEDIUM"</formula>
    </cfRule>
    <cfRule type="expression" priority="3" dxfId="6">
      <formula>$D4="HIGH"</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51" t="inlineStr">
        <is>
          <t>WORLD STATE CONTROL SYSTEM</t>
        </is>
      </c>
    </row>
    <row r="3">
      <c r="A3" t="inlineStr">
        <is>
          <t>Strain Escalation Threshold</t>
        </is>
      </c>
      <c r="B3" t="n">
        <v>2</v>
      </c>
    </row>
    <row r="4">
      <c r="A4" t="inlineStr">
        <is>
          <t>Fracture Threshold</t>
        </is>
      </c>
      <c r="B4" t="n">
        <v>9</v>
      </c>
    </row>
    <row r="6">
      <c r="A6" t="inlineStr">
        <is>
          <t>Decay Toggle (ON=1 / OFF=0)</t>
        </is>
      </c>
      <c r="B6" t="n">
        <v>0</v>
      </c>
    </row>
    <row r="8">
      <c r="A8" t="inlineStr">
        <is>
          <t>Live World State:</t>
        </is>
      </c>
      <c r="B8">
        <f>🧠 EVOLUTION!B4</f>
        <v/>
      </c>
    </row>
    <row r="10">
      <c r="A10" t="inlineStr">
        <is>
          <t>Decay Rate per Cycle</t>
        </is>
      </c>
      <c r="B10" t="n">
        <v>1</v>
      </c>
    </row>
    <row r="12">
      <c r="A12" t="inlineStr">
        <is>
          <t>Difficulty Mode™</t>
        </is>
      </c>
      <c r="B12" t="inlineStr">
        <is>
          <t>Systems Navigator</t>
        </is>
      </c>
    </row>
    <row r="14">
      <c r="A14" s="151" t="inlineStr">
        <is>
          <t>Modular Physics™</t>
        </is>
      </c>
    </row>
    <row r="15">
      <c r="A15" t="inlineStr">
        <is>
          <t>Resonance Diffusion Rate</t>
        </is>
      </c>
      <c r="B15" t="n">
        <v>0.35</v>
      </c>
    </row>
    <row r="16">
      <c r="A16" t="inlineStr">
        <is>
          <t>Structural Integrity Default</t>
        </is>
      </c>
      <c r="B16" t="n">
        <v>0.65</v>
      </c>
    </row>
    <row r="17">
      <c r="A17" t="inlineStr">
        <is>
          <t>Integration Cycle Rate</t>
        </is>
      </c>
      <c r="B17" t="n">
        <v>1</v>
      </c>
    </row>
    <row r="18">
      <c r="A18" t="inlineStr">
        <is>
          <t>Drift Sensitivity (0-1)</t>
        </is>
      </c>
      <c r="B18" t="n">
        <v>0.6</v>
      </c>
    </row>
    <row r="19">
      <c r="A19" t="inlineStr">
        <is>
          <t>Resonance Threshold LOW</t>
        </is>
      </c>
      <c r="B19" t="n">
        <v>1</v>
      </c>
    </row>
    <row r="20">
      <c r="A20" t="inlineStr">
        <is>
          <t>Resonance Threshold MED</t>
        </is>
      </c>
      <c r="B20" t="n">
        <v>3</v>
      </c>
    </row>
    <row r="21">
      <c r="A21" t="inlineStr">
        <is>
          <t>Resonance Threshold HIGH</t>
        </is>
      </c>
      <c r="B21" t="n">
        <v>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51" t="inlineStr">
        <is>
          <t>Grasshopper Emotional Climate Monitor</t>
        </is>
      </c>
    </row>
    <row r="3">
      <c r="A3" t="inlineStr">
        <is>
          <t>World Emotional Tone</t>
        </is>
      </c>
      <c r="B3">
        <f>IF(🧠 EVOLUTION!B4="STABLE","Calm Curiosity",IF(🧠 EVOLUTION!B4="WOBBLY","Uneasy Awareness",IF(🧠 EVOLUTION!B4="UNSTABLE","Heightened Tension","Existential Vertigo")))</f>
        <v/>
      </c>
    </row>
    <row r="5">
      <c r="A5" t="inlineStr">
        <is>
          <t>Dominant Narrative Pressure</t>
        </is>
      </c>
      <c r="B5">
        <f>IF(🧠 EVOLUTION!B2&gt;5,"Reality Seeking Reconciliation","Minor Perceptual Disturbance")</f>
        <v/>
      </c>
    </row>
  </sheetData>
  <conditionalFormatting sqref="A1:D10">
    <cfRule type="expression" priority="1" dxfId="11">
      <formula>🧠 EVOLUTION!B4="UNSTABLE"</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51" t="inlineStr">
        <is>
          <t>Grasshopper Console Mode</t>
        </is>
      </c>
    </row>
    <row r="3">
      <c r="A3" t="inlineStr">
        <is>
          <t>Mission Objective</t>
        </is>
      </c>
      <c r="B3">
        <f>IF(🧠 EVOLUTION!B4="FRACTURING","Stabilize the highest strain node before drift cascades.","Investigate anomalies and prevent escalation.")</f>
        <v/>
      </c>
    </row>
    <row r="5">
      <c r="A5" t="inlineStr">
        <is>
          <t>Current Hotspot</t>
        </is>
      </c>
      <c r="B5">
        <f>🗺️ THE MAP!B21</f>
        <v/>
      </c>
    </row>
    <row r="6">
      <c r="A6" t="inlineStr">
        <is>
          <t>Recommended Leaper Pairing</t>
        </is>
      </c>
      <c r="B6">
        <f>INDEX(🤝 SYNERGY MATRIX!B3:F3, MATCH(MAX(🤝 SYNERGY MATRIX!B3:F3), 🤝 SYNERGY MATRIX!B3:F3, 0))</f>
        <v/>
      </c>
    </row>
    <row r="8">
      <c r="A8" t="inlineStr">
        <is>
          <t>Operator Action Log</t>
        </is>
      </c>
    </row>
    <row r="9">
      <c r="A9" t="inlineStr">
        <is>
          <t>Enter actions taken to influence reality...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51" t="inlineStr">
        <is>
          <t>Adaptive Narrative Console</t>
        </is>
      </c>
    </row>
    <row r="3">
      <c r="A3" t="inlineStr">
        <is>
          <t>Current World State</t>
        </is>
      </c>
      <c r="B3">
        <f>🧠 EVOLUTION!B4</f>
        <v/>
      </c>
    </row>
    <row r="4">
      <c r="A4" t="inlineStr">
        <is>
          <t>Dominant Emotional Tone</t>
        </is>
      </c>
      <c r="B4">
        <f>❤️ EMOTIONAL CLIMATE!B3</f>
        <v/>
      </c>
    </row>
    <row r="6">
      <c r="A6" t="inlineStr">
        <is>
          <t>Dynamic Story Beat</t>
        </is>
      </c>
      <c r="B6">
        <f>IF(B3="FRACTURING","The town fractures under epistemic pressure; alliances must reform.",IF(B3="UNSTABLE","Conflicting interpretations ripple across Port Meridian.",IF(B3="WOBBLY","Subtle anomalies challenge certainty.","A quiet recalibration settles over the grid.")))</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s="152" t="inlineStr">
        <is>
          <t>GRASSHOPPER LIVE HUD</t>
        </is>
      </c>
      <c r="B1" s="153" t="n"/>
      <c r="C1" s="153" t="n"/>
      <c r="D1" s="153" t="n"/>
    </row>
    <row r="2">
      <c r="A2" s="153" t="n"/>
      <c r="B2" s="153" t="n"/>
      <c r="C2" s="153" t="n"/>
      <c r="D2" s="153" t="n"/>
    </row>
    <row r="3">
      <c r="A3" s="154" t="inlineStr">
        <is>
          <t>WORLD STATE</t>
        </is>
      </c>
      <c r="B3" s="155">
        <f>🧠 EVOLUTION!B4</f>
        <v/>
      </c>
      <c r="C3" s="153" t="n"/>
      <c r="D3" s="153" t="n"/>
    </row>
    <row r="4">
      <c r="A4" s="153" t="n"/>
      <c r="B4" s="155" t="n"/>
      <c r="C4" s="153" t="n"/>
      <c r="D4" s="153" t="n"/>
    </row>
    <row r="5">
      <c r="A5" s="154" t="inlineStr">
        <is>
          <t>STRAIN INDEX</t>
        </is>
      </c>
      <c r="B5" s="155">
        <f>🧠 EVOLUTION!B2</f>
        <v/>
      </c>
      <c r="C5" s="153" t="n"/>
      <c r="D5" s="153" t="n"/>
    </row>
    <row r="6">
      <c r="A6" s="153" t="n"/>
      <c r="B6" s="155" t="n"/>
      <c r="C6" s="153" t="n"/>
      <c r="D6" s="153" t="n"/>
    </row>
    <row r="7">
      <c r="A7" s="154" t="inlineStr">
        <is>
          <t>HOTSPOT</t>
        </is>
      </c>
      <c r="B7" s="155">
        <f>🗺️ THE MAP!B21</f>
        <v/>
      </c>
      <c r="C7" s="153" t="n"/>
      <c r="D7" s="153" t="n"/>
    </row>
    <row r="8">
      <c r="A8" s="153" t="n"/>
      <c r="B8" s="155" t="n"/>
      <c r="C8" s="153" t="n"/>
      <c r="D8" s="153" t="n"/>
    </row>
    <row r="9">
      <c r="A9" s="154" t="inlineStr">
        <is>
          <t>DRIFT STATUS</t>
        </is>
      </c>
      <c r="B9" s="155">
        <f>🌀 DRIFT ENGINE!B5</f>
        <v/>
      </c>
      <c r="C9" s="153" t="n"/>
      <c r="D9" s="153" t="n"/>
    </row>
    <row r="10">
      <c r="A10" s="153" t="n"/>
      <c r="B10" s="155" t="n"/>
      <c r="C10" s="153" t="n"/>
      <c r="D10" s="153" t="n"/>
    </row>
    <row r="11">
      <c r="A11" s="154" t="inlineStr">
        <is>
          <t>EMOTIONAL TONE</t>
        </is>
      </c>
      <c r="B11" s="155">
        <f>❤️ EMOTIONAL CLIMATE!B3</f>
        <v/>
      </c>
      <c r="C11" s="153" t="n"/>
      <c r="D11" s="153" t="n"/>
    </row>
    <row r="12">
      <c r="A12" s="153" t="n"/>
      <c r="B12" s="155" t="n"/>
      <c r="C12" s="153" t="n"/>
      <c r="D12" s="153" t="n"/>
    </row>
    <row r="13">
      <c r="A13" s="154" t="inlineStr">
        <is>
          <t>MOST FATIGUED LEAPER</t>
        </is>
      </c>
      <c r="B13" s="155">
        <f>🧭 EXPERIENCE DASHBOARD!B5</f>
        <v/>
      </c>
      <c r="C13" s="153" t="n"/>
      <c r="D13" s="153" t="n"/>
    </row>
    <row r="14">
      <c r="A14" s="153" t="n"/>
      <c r="B14" s="155" t="n"/>
      <c r="C14" s="153" t="n"/>
      <c r="D14" s="153" t="n"/>
    </row>
    <row r="15">
      <c r="A15" s="152" t="inlineStr">
        <is>
          <t>OPERATOR SIGNAL</t>
        </is>
      </c>
      <c r="B15" s="153">
        <f>🧭 EXPERIENCE DASHBOARD!B8</f>
        <v/>
      </c>
      <c r="C15" s="153" t="n"/>
      <c r="D15" s="153" t="n"/>
    </row>
    <row r="16">
      <c r="A16" s="153" t="n"/>
      <c r="B16" s="153" t="n"/>
      <c r="C16" s="153" t="n"/>
      <c r="D16" s="153" t="n"/>
    </row>
    <row r="17">
      <c r="A17" s="153" t="n"/>
      <c r="B17" s="153" t="n"/>
      <c r="C17" s="153" t="n"/>
      <c r="D17" s="153" t="n"/>
    </row>
    <row r="18">
      <c r="A18" s="153" t="n"/>
      <c r="B18" s="153" t="n"/>
      <c r="C18" s="153" t="n"/>
      <c r="D18" s="153" t="n"/>
    </row>
    <row r="19">
      <c r="A19" s="153" t="n"/>
      <c r="B19" s="153" t="n"/>
      <c r="C19" s="153" t="n"/>
      <c r="D19" s="15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2026-03-03T02:25:42Z</dcterms:created>
  <dcterms:modified xmlns:dcterms="http://purl.org/dc/terms/" xmlns:xsi="http://www.w3.org/2001/XMLSchema-instance" xsi:type="dcterms:W3CDTF">2026-03-03T13:50:31Z</dcterms:modified>
</cp:coreProperties>
</file>