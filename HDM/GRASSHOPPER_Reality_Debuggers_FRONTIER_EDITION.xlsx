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EVOLUTION" sheetId="2" state="visible" r:id="rId2"/>
    <sheet xmlns:r="http://schemas.openxmlformats.org/officeDocument/2006/relationships" name="🗺️ THE MAP" sheetId="3" state="visible" r:id="rId3"/>
    <sheet xmlns:r="http://schemas.openxmlformats.org/officeDocument/2006/relationships" name="🧬 THE LEAPERS" sheetId="4" state="visible" r:id="rId4"/>
    <sheet xmlns:r="http://schemas.openxmlformats.org/officeDocument/2006/relationships" name="👥 THE NEIGHBORS" sheetId="5" state="visible" r:id="rId5"/>
    <sheet xmlns:r="http://schemas.openxmlformats.org/officeDocument/2006/relationships" name="⚡ THE GLITCHES" sheetId="6" state="visible" r:id="rId6"/>
    <sheet xmlns:r="http://schemas.openxmlformats.org/officeDocument/2006/relationships" name="📚 THE LORE" sheetId="7" state="visible" r:id="rId7"/>
    <sheet xmlns:r="http://schemas.openxmlformats.org/officeDocument/2006/relationships" name="🔀 THE MANDELA" sheetId="8" state="visible" r:id="rId8"/>
    <sheet xmlns:r="http://schemas.openxmlformats.org/officeDocument/2006/relationships" name="🎛️ CONTROL PANEL" sheetId="9" state="visible" r:id="rId9"/>
    <sheet xmlns:r="http://schemas.openxmlformats.org/officeDocument/2006/relationships" name="🌌 EMERGENT EVENTS" sheetId="10" state="visible" r:id="rId10"/>
    <sheet xmlns:r="http://schemas.openxmlformats.org/officeDocument/2006/relationships" name="🌀 DRIFT ENGINE" sheetId="11" state="visible" r:id="rId11"/>
    <sheet xmlns:r="http://schemas.openxmlformats.org/officeDocument/2006/relationships" name="🤝 SYNERGY MATRIX" sheetId="12" state="visible" r:id="rId12"/>
    <sheet xmlns:r="http://schemas.openxmlformats.org/officeDocument/2006/relationships" name="📜 WORLD MEMORY LOG" sheetId="13" state="visible" r:id="rId13"/>
    <sheet xmlns:r="http://schemas.openxmlformats.org/officeDocument/2006/relationships" name="🧭 EXPERIENCE DASHBOARD" sheetId="14" state="visible" r:id="rId14"/>
  </sheets>
  <definedNames/>
  <calcPr calcId="124519" fullCalcOnLoad="1"/>
</workbook>
</file>

<file path=xl/styles.xml><?xml version="1.0" encoding="utf-8"?>
<styleSheet xmlns="http://schemas.openxmlformats.org/spreadsheetml/2006/main">
  <numFmts count="0"/>
  <fonts count="51">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
      <b val="1"/>
      <sz val="14"/>
    </font>
    <font>
      <b val="1"/>
    </font>
  </fonts>
  <fills count="19">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52">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xf numFmtId="0" fontId="49" fillId="0" borderId="0" pivotButton="0" quotePrefix="0" xfId="0"/>
    <xf numFmtId="0" fontId="50" fillId="0" borderId="0" applyAlignment="1" pivotButton="0" quotePrefix="0" xfId="0">
      <alignment vertical="top" wrapText="1"/>
    </xf>
    <xf numFmtId="0" fontId="0" fillId="0" borderId="0" applyAlignment="1" pivotButton="0" quotePrefix="0" xfId="0">
      <alignment vertical="top" wrapText="1"/>
    </xf>
    <xf numFmtId="0" fontId="50" fillId="3" borderId="0" applyAlignment="1" pivotButton="0" quotePrefix="0" xfId="0">
      <alignment horizontal="center" vertical="center" wrapText="1"/>
    </xf>
    <xf numFmtId="0" fontId="50" fillId="4" borderId="0" applyAlignment="1" pivotButton="0" quotePrefix="0" xfId="0">
      <alignment horizontal="center" vertical="center" wrapText="1"/>
    </xf>
    <xf numFmtId="0" fontId="50" fillId="0" borderId="0" applyAlignment="1" pivotButton="0" quotePrefix="0" xfId="0">
      <alignment horizontal="center" vertical="center"/>
    </xf>
    <xf numFmtId="0" fontId="50" fillId="12" borderId="2" applyAlignment="1" pivotButton="0" quotePrefix="0" xfId="0">
      <alignment horizontal="center"/>
    </xf>
    <xf numFmtId="0" fontId="50" fillId="8" borderId="2" applyAlignment="1" pivotButton="0" quotePrefix="0" xfId="0">
      <alignment horizontal="center"/>
    </xf>
    <xf numFmtId="0" fontId="50" fillId="6" borderId="2" applyAlignment="1" pivotButton="0" quotePrefix="0" xfId="0">
      <alignment horizontal="center"/>
    </xf>
    <xf numFmtId="0" fontId="50" fillId="10" borderId="2" applyAlignment="1" pivotButton="0" quotePrefix="0" xfId="0">
      <alignment horizontal="center"/>
    </xf>
    <xf numFmtId="0" fontId="50" fillId="0" borderId="0" pivotButton="0" quotePrefix="0" xfId="0"/>
  </cellXfs>
  <cellStyles count="1">
    <cellStyle name="Normal" xfId="0" builtinId="0" hidden="0"/>
  </cellStyles>
  <dxfs count="11">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
      <fill>
        <patternFill patternType="solid">
          <fgColor rgb="00FFF2CC"/>
        </patternFill>
      </fill>
    </dxf>
    <dxf>
      <fill>
        <patternFill patternType="solid">
          <fgColor rgb="00D9E1F2"/>
        </patternFill>
      </fill>
    </dxf>
    <dxf>
      <fill>
        <patternFill patternType="solid">
          <fgColor rgb="00FCE4D6"/>
        </patternFill>
      </fill>
    </dxf>
    <dxf>
      <fill>
        <patternFill patternType="solid">
          <fgColor rgb="00F8CBAD"/>
        </patternFill>
      </fill>
    </dxf>
    <dxf>
      <fill>
        <patternFill patternType="solid">
          <fgColor rgb="00FFF2CC"/>
          <bgColor rgb="00FFF2CC"/>
        </patternFill>
      </fill>
    </dxf>
    <dxf>
      <fill>
        <patternFill patternType="solid">
          <fgColor rgb="00FF6666"/>
          <bgColor rgb="00FF6666"/>
        </patternFill>
      </fill>
    </dxf>
    <dxf>
      <fill>
        <patternFill patternType="solid">
          <fgColor rgb="00FFD580"/>
          <bgColor rgb="00FFD580"/>
        </patternFill>
      </fill>
    </dxf>
    <dxf>
      <fill>
        <patternFill patternType="solid">
          <fgColor rgb="00FFE6E6"/>
          <bgColor rgb="00FF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Psychedelic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does not explain itself.</t>
        </is>
      </c>
      <c r="C14" s="1" t="n"/>
    </row>
    <row r="15" ht="18" customHeight="1">
      <c r="A15" s="1" t="n"/>
      <c r="B15" s="9" t="inlineStr">
        <is>
          <t>Neither does this spreadsheet.</t>
        </is>
      </c>
      <c r="C15" s="1" t="n"/>
    </row>
    <row r="16" ht="18" customHeight="1">
      <c r="A16" s="1" t="n"/>
      <c r="B16" s="5" t="inlineStr"/>
      <c r="C16" s="1" t="n"/>
    </row>
    <row r="17" ht="18" customHeight="1">
      <c r="A17" s="1" t="n"/>
      <c r="B17" s="10" t="inlineStr">
        <is>
          <t>HOW TO INHABIT THIS WORLD</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have already changed</t>
        </is>
      </c>
      <c r="C32" s="1" t="n"/>
    </row>
    <row r="33" ht="18" customHeight="1">
      <c r="A33" s="1" t="n"/>
      <c r="B33" s="16" t="inlineStr">
        <is>
          <t>since the last time you read them.</t>
        </is>
      </c>
      <c r="C33" s="1" t="n"/>
    </row>
    <row r="34" ht="18" customHeight="1">
      <c r="A34" s="1" t="n"/>
      <c r="B34" s="17" t="inlineStr">
        <is>
          <t>This is not an error.</t>
        </is>
      </c>
      <c r="C34" s="1" t="n"/>
    </row>
    <row r="35" ht="18" customHeight="1">
      <c r="A35" s="1" t="n"/>
      <c r="B35" s="5" t="inlineStr"/>
      <c r="C35" s="1" t="n"/>
    </row>
    <row r="36" ht="18" customHeight="1">
      <c r="A36" s="1" t="n"/>
      <c r="B36" s="14" t="inlineStr">
        <is>
          <t>THE THIRD RULE</t>
        </is>
      </c>
      <c r="C36" s="1" t="n"/>
    </row>
    <row r="37" ht="18" customHeight="1">
      <c r="A37" s="1" t="n"/>
      <c r="B37" s="18" t="inlineStr">
        <is>
          <t>The Grasshopper is always already here.</t>
        </is>
      </c>
      <c r="C37" s="1" t="n"/>
    </row>
    <row r="38" ht="18" customHeight="1">
      <c r="A38" s="1" t="n"/>
      <c r="B38" s="19" t="inlineStr">
        <is>
          <t>Listen for the chirp.</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n"/>
      <c r="C44" s="1" t="n"/>
    </row>
    <row r="45" ht="18" customHeight="1">
      <c r="A45" s="1" t="n"/>
      <c r="B45" s="1" t="n"/>
      <c r="C45" s="1" t="n"/>
    </row>
    <row r="46" ht="18" customHeight="1">
      <c r="A46" s="1" t="n"/>
      <c r="B46" s="1" t="n"/>
      <c r="C46" s="1" t="n"/>
    </row>
    <row r="47" ht="18" customHeight="1">
      <c r="A47" s="1" t="n"/>
      <c r="B47" s="1" t="n"/>
      <c r="C47" s="1" t="n"/>
    </row>
    <row r="48" ht="18" customHeight="1">
      <c r="A48" s="1" t="n"/>
      <c r="B48" s="1" t="n"/>
      <c r="C48" s="1" t="n"/>
    </row>
    <row r="49" ht="18" customHeight="1">
      <c r="A49" s="1" t="n"/>
      <c r="B49" s="1" t="n"/>
      <c r="C49" s="1" t="n"/>
    </row>
    <row r="50" ht="18" customHeight="1">
      <c r="A50" s="1" t="n"/>
      <c r="B50" s="1" t="n"/>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6" customWidth="1" min="1" max="1"/>
    <col width="24" customWidth="1" min="2" max="2"/>
    <col width="18" customWidth="1" min="3" max="3"/>
  </cols>
  <sheetData>
    <row r="1">
      <c r="A1" s="141" t="inlineStr">
        <is>
          <t>🧠 EVOLUTION LAYER · Formula-driven world state</t>
        </is>
      </c>
    </row>
    <row r="2">
      <c r="A2" s="142" t="inlineStr">
        <is>
          <t>Reality Strain Index</t>
        </is>
      </c>
      <c r="B2" s="143">
        <f>COUNTIF('🔀 THE MANDELA'!$D$4:$D$23,"LOW")+2*COUNTIF('🔀 THE MANDELA'!$D$4:$D$23,"MEDIUM")+3*COUNTIF('🔀 THE MANDELA'!$D$4:$D$23,"HIGH")</f>
        <v/>
      </c>
    </row>
    <row r="3">
      <c r="A3" s="142" t="inlineStr">
        <is>
          <t>Discrepancy counts</t>
        </is>
      </c>
      <c r="B3" s="143" t="n"/>
    </row>
    <row r="4">
      <c r="A4" s="143" t="inlineStr">
        <is>
          <t>LOW</t>
        </is>
      </c>
      <c r="B4" s="143">
        <f>COUNTIF('🔀 THE MANDELA'!$D$4:$D$23,"LOW")</f>
        <v/>
      </c>
    </row>
    <row r="5">
      <c r="A5" s="143" t="inlineStr">
        <is>
          <t>MEDIUM</t>
        </is>
      </c>
      <c r="B5" s="143">
        <f>COUNTIF('🔀 THE MANDELA'!$D$4:$D$23,"MEDIUM")</f>
        <v/>
      </c>
    </row>
    <row r="6">
      <c r="A6" s="143" t="inlineStr">
        <is>
          <t>HIGH</t>
        </is>
      </c>
      <c r="B6" s="143">
        <f>COUNTIF('🔀 THE MANDELA'!$D$4:$D$23,"HIGH")</f>
        <v/>
      </c>
    </row>
    <row r="7">
      <c r="A7" s="143" t="inlineStr">
        <is>
          <t>NONE</t>
        </is>
      </c>
      <c r="B7" s="143">
        <f>COUNTIF('🔀 THE MANDELA'!$D$4:$D$23,"NONE")</f>
        <v/>
      </c>
    </row>
    <row r="8">
      <c r="A8" s="143" t="n"/>
      <c r="B8" s="143" t="n"/>
    </row>
    <row r="9">
      <c r="A9" s="142" t="inlineStr">
        <is>
          <t>World State</t>
        </is>
      </c>
      <c r="B9" s="143">
        <f>IF(B2&gt;=9,"FRACTURING",IF(B2&gt;=4,"UNSTABLE",IF(B2&gt;=1,"WOBBLY","STABLE")))</f>
        <v/>
      </c>
    </row>
    <row r="10">
      <c r="A10" s="143" t="inlineStr">
        <is>
          <t>Decayed Strain</t>
        </is>
      </c>
      <c r="B10" s="143">
        <f>IF('🎛️ CONTROL PANEL'!B6=1,MAX(B2-'🎛️ CONTROL PANEL'!B10,0),B2)</f>
        <v/>
      </c>
    </row>
    <row r="11">
      <c r="A11" s="142" t="inlineStr">
        <is>
          <t>Notes</t>
        </is>
      </c>
      <c r="B11" s="143" t="n"/>
    </row>
    <row r="12">
      <c r="A12" s="143" t="inlineStr">
        <is>
          <t>• Change values in 🔀 THE MANDELA (CURRENT REALITY). DISCREPANCY LEVEL updates automatically.</t>
        </is>
      </c>
      <c r="B12" s="143" t="n"/>
    </row>
    <row r="13">
      <c r="A13" s="143" t="inlineStr">
        <is>
          <t>• ⚡ THE GLITCHES gains AUTO fields driven by Mandela discrepancies and location matching.</t>
        </is>
      </c>
      <c r="B13" s="143" t="n"/>
    </row>
    <row r="14">
      <c r="A14" s="143" t="inlineStr">
        <is>
          <t>• Override any formula cell by typing a value (turning it into a manual decision).</t>
        </is>
      </c>
      <c r="B14" s="143" t="n"/>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0F766E"/>
    <outlinePr summaryBelow="1" summaryRight="1"/>
    <pageSetUpPr/>
  </sheetPr>
  <dimension ref="A1:I22"/>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144">
        <f>"⚡ REALITY STRAIN: "&amp;'🧠 EVOLUTION'!B2&amp;"  ·  WORLD STATE: "&amp;'🧠 EVOLUTION'!B9</f>
        <v/>
      </c>
      <c r="E2" s="145">
        <f>"OPEN GLITCHES: "&amp;COUNTIF('⚡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c r="A17" s="151" t="inlineStr">
        <is>
          <t>Localized Strain Index</t>
        </is>
      </c>
    </row>
    <row r="18" ht="22" customHeight="1">
      <c r="A18">
        <f>SUM('🔀 THE MANDELA'!F2:F100)</f>
        <v/>
      </c>
    </row>
    <row r="19" ht="22" customHeight="1"/>
    <row r="20" ht="22" customHeight="1">
      <c r="A20" s="151" t="inlineStr">
        <is>
          <t>Node-Specific Strain Engine</t>
        </is>
      </c>
    </row>
    <row r="21" ht="22" customHeight="1">
      <c r="A21" t="inlineStr">
        <is>
          <t>Highest Strain Node:</t>
        </is>
      </c>
      <c r="B21">
        <f>INDEX('🔀 THE MANDELA'!A2:A100, MATCH(MAX('🔀 THE MANDELA'!F2:F100), '🔀 THE MANDELA'!F2:F100, 0))</f>
        <v/>
      </c>
    </row>
    <row r="22" ht="22" customHeight="1">
      <c r="A22" t="inlineStr">
        <is>
          <t>Max Node Strain Value:</t>
        </is>
      </c>
      <c r="B22">
        <f>MAX('🔀 THE MANDELA'!F2:F100)</f>
        <v/>
      </c>
    </row>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conditionalFormatting sqref="A1:I15">
    <cfRule type="expression" priority="1" dxfId="7">
      <formula>🧠 EVOLUTION!B4="UNSTABLE"</formula>
    </cfRule>
    <cfRule type="expression" priority="2" dxfId="9">
      <formula>A18&gt;5</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06B6D4"/>
    <outlinePr summaryBelow="1" summaryRight="1"/>
    <pageSetUpPr/>
  </sheetPr>
  <dimension ref="A1:J9"/>
  <sheetViews>
    <sheetView showGridLines="0" workbookViewId="0">
      <pane ySplit="2" topLeftCell="A3" activePane="bottomLeft" state="frozen"/>
      <selection pane="bottomLeft" activeCell="A1" sqref="A1"/>
    </sheetView>
  </sheetViews>
  <sheetFormatPr baseColWidth="8" defaultRowHeight="15"/>
  <cols>
    <col width="22" customWidth="1" min="1" max="1"/>
    <col width="12" customWidth="1" min="2" max="2"/>
    <col width="14" customWidth="1" min="3" max="3"/>
    <col width="20" customWidth="1" min="4" max="4"/>
    <col width="28" customWidth="1" min="5" max="5"/>
    <col width="30" customWidth="1" min="6" max="6"/>
    <col width="30" customWidth="1" min="7" max="7"/>
    <col width="30" customWidth="1" min="8" max="8"/>
    <col width="20" customWidth="1" min="9" max="9"/>
  </cols>
  <sheetData>
    <row r="1" ht="20" customHeight="1">
      <c r="A1" s="22" t="inlineStr">
        <is>
          <t>🧬  THE LEAPERS  ·  The Andersson Family  ·  Five Perceptions of One Reality</t>
        </is>
      </c>
      <c r="J1" t="inlineStr">
        <is>
          <t>FATIGUE INDEX</t>
        </is>
      </c>
    </row>
    <row r="2" ht="20" customHeight="1">
      <c r="A2" s="61" t="inlineStr">
        <is>
          <t>CHARACTER</t>
        </is>
      </c>
      <c r="B2" s="62" t="inlineStr">
        <is>
          <t>AGE</t>
        </is>
      </c>
      <c r="C2" s="63" t="inlineStr">
        <is>
          <t>FOCUS MODE</t>
        </is>
      </c>
      <c r="D2" s="64" t="inlineStr">
        <is>
          <t>CULTURAL ANCHOR</t>
        </is>
      </c>
      <c r="E2" s="65" t="inlineStr">
        <is>
          <t>PERCEPTUAL ABILITY</t>
        </is>
      </c>
      <c r="F2" s="66" t="inlineStr">
        <is>
          <t>WHAT THEY HEAR IN THE CHIRP</t>
        </is>
      </c>
      <c r="G2" s="67" t="inlineStr">
        <is>
          <t>SHADOW / FEAR</t>
        </is>
      </c>
      <c r="H2" s="68" t="inlineStr">
        <is>
          <t>LEAPER ROLE</t>
        </is>
      </c>
      <c r="I2" s="69" t="inlineStr">
        <is>
          <t>CURRENT LOCATION</t>
        </is>
      </c>
      <c r="J2">
        <f>COUNTIF('⚡ THE GLITCHES'!C:C,"*"&amp;A2&amp;"*")</f>
        <v/>
      </c>
    </row>
    <row r="3" ht="55" customHeight="1">
      <c r="A3" s="70" t="inlineStr">
        <is>
          <t>GRANDPA LOU</t>
        </is>
      </c>
      <c r="B3" s="71" t="n">
        <v>67</v>
      </c>
      <c r="C3" s="72" t="inlineStr">
        <is>
          <t>ANCESTRAL</t>
        </is>
      </c>
      <c r="D3" s="73" t="inlineStr">
        <is>
          <t>Cahuilla / Retired Physics</t>
        </is>
      </c>
      <c r="E3" s="74" t="inlineStr">
        <is>
          <t>Protected Memory — Lou's recall cannot be overwritten by the Mandela Effect. He is the ground truth.</t>
        </is>
      </c>
      <c r="F3" s="75" t="inlineStr">
        <is>
          <t>A low, resonant tone from before the Inadvertent Ocean existed. He recognises it as the land's own frequency.</t>
        </is>
      </c>
      <c r="G3" s="76" t="inlineStr">
        <is>
          <t>The fear that the truth he holds will die with him. That no one will believe the archive.</t>
        </is>
      </c>
      <c r="H3" s="77" t="inlineStr">
        <is>
          <t>THE ANCHOR — The ground from which the leap is made.</t>
        </is>
      </c>
      <c r="I3" s="78" t="inlineStr">
        <is>
          <t>Grandpa Lou's Archive</t>
        </is>
      </c>
      <c r="J3">
        <f>COUNTIF('⚡ THE GLITCHES'!C:C,"*"&amp;A3&amp;"*")</f>
        <v/>
      </c>
    </row>
    <row r="4" ht="55" customHeight="1">
      <c r="A4" s="79" t="inlineStr">
        <is>
          <t>JONAH</t>
        </is>
      </c>
      <c r="B4" s="80" t="n">
        <v>43</v>
      </c>
      <c r="C4" s="81" t="inlineStr">
        <is>
          <t>SEAM</t>
        </is>
      </c>
      <c r="D4" s="82" t="inlineStr">
        <is>
          <t>Yoruba / Data Engineering</t>
        </is>
      </c>
      <c r="E4" s="83" t="inlineStr">
        <is>
          <t>Seam Sense — Jonah is placed at every weak point in reality before it opens. He does not choose to arrive. He simply does.</t>
        </is>
      </c>
      <c r="F4" s="84" t="inlineStr">
        <is>
          <t>A rhythmic pulse, like a heartbeat slightly out of sync. His Ori recognises it as a call to his chosen path.</t>
        </is>
      </c>
      <c r="G4" s="85" t="inlineStr">
        <is>
          <t>The fear of being perpetually displaced. Of never arriving anywhere by choice.</t>
        </is>
      </c>
      <c r="H4" s="86" t="inlineStr">
        <is>
          <t>THE NAVIGATOR — Attuned to the chirp, knows where the next gap will open.</t>
        </is>
      </c>
      <c r="I4" s="87" t="inlineStr">
        <is>
          <t>Jonah's Seam Point</t>
        </is>
      </c>
      <c r="J4">
        <f>COUNTIF('⚡ THE GLITCHES'!C:C,"*"&amp;A4&amp;"*")</f>
        <v/>
      </c>
    </row>
    <row r="5" ht="55" customHeight="1">
      <c r="A5" s="88" t="inlineStr">
        <is>
          <t>NAOMI</t>
        </is>
      </c>
      <c r="B5" s="71" t="n">
        <v>41</v>
      </c>
      <c r="C5" s="89" t="inlineStr">
        <is>
          <t>ECHO</t>
        </is>
      </c>
      <c r="D5" s="73" t="inlineStr">
        <is>
          <t>South Asian / Cognitive Therapy</t>
        </is>
      </c>
      <c r="E5" s="74" t="inlineStr">
        <is>
          <t>Pre-Echo Reception — Naomi receives the emotional residue of a glitch before it manifests. She feels it before she can name it.</t>
        </is>
      </c>
      <c r="F5" s="75" t="inlineStr">
        <is>
          <t>A harmonic overtone, like a singing bowl. She holds the tension between Maya (divine illusion) and clinical evidence.</t>
        </is>
      </c>
      <c r="G5" s="76" t="inlineStr">
        <is>
          <t>The fear that her feelings are symptoms, not signals. That she is the unreliable narrator of her own perception.</t>
        </is>
      </c>
      <c r="H5" s="90" t="inlineStr">
        <is>
          <t>THE RECEIVER — Hears the echoes across time before they have names.</t>
        </is>
      </c>
      <c r="I5" s="78" t="inlineStr">
        <is>
          <t>Naomi's Listening Post</t>
        </is>
      </c>
      <c r="J5">
        <f>COUNTIF('⚡ THE GLITCHES'!C:C,"*"&amp;A5&amp;"*")</f>
        <v/>
      </c>
    </row>
    <row r="6" ht="55" customHeight="1">
      <c r="A6" s="91" t="inlineStr">
        <is>
          <t>MILO</t>
        </is>
      </c>
      <c r="B6" s="80" t="n">
        <v>17</v>
      </c>
      <c r="C6" s="92" t="inlineStr">
        <is>
          <t>ERROR</t>
        </is>
      </c>
      <c r="D6" s="82" t="inlineStr">
        <is>
          <t>Mesoamerican / Tech-Intuitive</t>
        </is>
      </c>
      <c r="E6" s="83" t="inlineStr">
        <is>
          <t>Error Vision — Milo sees the architecture of glitches as visible code. He reads the error messages of reality.</t>
        </is>
      </c>
      <c r="F6" s="84" t="inlineStr">
        <is>
          <t>A rapid, staccato pattern. He hears it as a data packet — a compressed message from a cyclical time system.</t>
        </is>
      </c>
      <c r="G6" s="85" t="inlineStr">
        <is>
          <t>The fear that he is the only one who can see the errors, and that seeing them makes him responsible for fixing them.</t>
        </is>
      </c>
      <c r="H6" s="93" t="inlineStr">
        <is>
          <t>THE READER — Perceives the architecture of the gaps themselves.</t>
        </is>
      </c>
      <c r="I6" s="87" t="inlineStr">
        <is>
          <t>Milo's Error Log</t>
        </is>
      </c>
      <c r="J6">
        <f>COUNTIF('⚡ THE GLITCHES'!C:C,"*"&amp;A6&amp;"*")</f>
        <v/>
      </c>
    </row>
    <row r="7" ht="55" customHeight="1">
      <c r="A7" s="94" t="inlineStr">
        <is>
          <t>ELLA</t>
        </is>
      </c>
      <c r="B7" s="71" t="n">
        <v>11</v>
      </c>
      <c r="C7" s="95" t="inlineStr">
        <is>
          <t>LOVE</t>
        </is>
      </c>
      <c r="D7" s="73" t="inlineStr">
        <is>
          <t>Akan / Sankofa / Artist</t>
        </is>
      </c>
      <c r="E7" s="74" t="inlineStr">
        <is>
          <t>Reality Rewrite — Ella's art changes the world around it. She flies forward while looking backward. Sankofa in motion.</t>
        </is>
      </c>
      <c r="F7" s="75" t="inlineStr">
        <is>
          <t>A melody. Simple, complete, and slightly heartbreaking. She hums along without knowing she is doing it.</t>
        </is>
      </c>
      <c r="G7" s="76" t="inlineStr">
        <is>
          <t>The fear that love is not enough. That some things cannot be rewritten, only witnessed.</t>
        </is>
      </c>
      <c r="H7" s="96" t="inlineStr">
        <is>
          <t>THE REWRITER — Understands that the leap is, ultimately, an act of love.</t>
        </is>
      </c>
      <c r="I7" s="78" t="inlineStr">
        <is>
          <t>Ella's Rewrite Studio</t>
        </is>
      </c>
      <c r="J7">
        <f>COUNTIF('⚡ THE GLITCHES'!C:C,"*"&amp;A7&amp;"*")</f>
        <v/>
      </c>
    </row>
    <row r="8" ht="20" customHeight="1">
      <c r="J8">
        <f>COUNTIF('⚡ THE GLITCHES'!C:C,"*"&amp;A8&amp;"*")</f>
        <v/>
      </c>
    </row>
    <row r="9" ht="30" customHeight="1">
      <c r="A9" s="97" t="inlineStr">
        <is>
          <t>⚙️  FOCUS MODE is the active perceptual lens. Change a Leaper's FOCUS MODE to unlock hidden notes on THE MAP. Options: CURRENT · PAST · ANCESTRAL · SEAM · ECHO · ERROR · LOVE</t>
        </is>
      </c>
      <c r="J9">
        <f>COUNTIF('⚡ THE GLITCHES'!C:C,"*"&amp;A9&amp;"*")</f>
        <v/>
      </c>
    </row>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sheetData>
  <mergeCells count="2">
    <mergeCell ref="A1:I1"/>
    <mergeCell ref="A9:I9"/>
  </mergeCells>
  <conditionalFormatting sqref="J2:J9">
    <cfRule type="expression" priority="1" dxfId="10">
      <formula>$J2&gt;2</formula>
    </cfRule>
  </conditionalFormatting>
  <dataValidations count="1">
    <dataValidation sqref="C3:C7" showDropDown="0" showInputMessage="0" showErrorMessage="0" allowBlank="0" type="list">
      <formula1>"CURRENT,PAST,ANCESTRAL,SEAM,ECHO,ERROR,LOVE"</formula1>
    </dataValidation>
  </dataValidations>
  <pageMargins left="0.75" right="0.75" top="1" bottom="1" header="0.5" footer="0.5"/>
</worksheet>
</file>

<file path=xl/worksheets/sheet5.xml><?xml version="1.0" encoding="utf-8"?>
<worksheet xmlns="http://schemas.openxmlformats.org/spreadsheetml/2006/main">
  <sheetPr>
    <tabColor rgb="00D4A96A"/>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24" customWidth="1" min="1" max="1"/>
    <col width="14" customWidth="1" min="2" max="2"/>
    <col width="22" customWidth="1" min="3" max="3"/>
    <col width="30" customWidth="1" min="4" max="4"/>
    <col width="30" customWidth="1" min="5" max="5"/>
    <col width="22" customWidth="1" min="6" max="6"/>
    <col width="18" customWidth="1" min="7" max="7"/>
  </cols>
  <sheetData>
    <row r="1">
      <c r="A1" s="98" t="inlineStr">
        <is>
          <t>👥  THE NEIGHBORS  ·  Port Meridian's Permanent &amp; Semi-Permanent Population</t>
        </is>
      </c>
    </row>
    <row r="2">
      <c r="A2" s="62" t="inlineStr">
        <is>
          <t>NAME / HANDLE</t>
        </is>
      </c>
      <c r="B2" s="99" t="inlineStr">
        <is>
          <t>TRIBE</t>
        </is>
      </c>
      <c r="C2" s="64" t="inlineStr">
        <is>
          <t>HOME NODE</t>
        </is>
      </c>
      <c r="D2" s="68" t="inlineStr">
        <is>
          <t>CORE BELIEF (re: Glitches)</t>
        </is>
      </c>
      <c r="E2" s="66" t="inlineStr">
        <is>
          <t>SIGNATURE QUOTE</t>
        </is>
      </c>
      <c r="F2" s="65" t="inlineStr">
        <is>
          <t>RELATIONSHIP TO LEAPERS</t>
        </is>
      </c>
      <c r="G2" s="67" t="inlineStr">
        <is>
          <t>MANDELA SENSITIVITY</t>
        </is>
      </c>
    </row>
    <row r="3" ht="60" customHeight="1">
      <c r="A3" s="100" t="inlineStr">
        <is>
          <t>THE TRICKSTER</t>
        </is>
      </c>
      <c r="B3" s="101" t="inlineStr">
        <is>
          <t>NONE (Crossroads)</t>
        </is>
      </c>
      <c r="C3" s="82" t="inlineStr">
        <is>
          <t>The Ski &amp; Inn</t>
        </is>
      </c>
      <c r="D3" s="102" t="inlineStr">
        <is>
          <t>The glitches are the punchline. Reality is the setup. The Trickster has known the answer since before the question was asked.</t>
        </is>
      </c>
      <c r="E3" s="103" t="inlineStr">
        <is>
          <t>'You want to know what's happening? Order a drink. It'll come to you. Or it won't. Either way, you'll have a drink.'</t>
        </is>
      </c>
      <c r="F3" s="104" t="inlineStr">
        <is>
          <t>Dispenses wisdom as jokes to all five Leapers. The Grasshopper's human voice.</t>
        </is>
      </c>
      <c r="G3" s="105" t="inlineStr">
        <is>
          <t>IMMUNE — The Trickster remembers all versions simultaneously.</t>
        </is>
      </c>
    </row>
    <row r="4" ht="60" customHeight="1">
      <c r="A4" s="106" t="inlineStr">
        <is>
          <t>DOLORES PERMANENTE</t>
        </is>
      </c>
      <c r="B4" s="107" t="inlineStr">
        <is>
          <t>HOLDOUT</t>
        </is>
      </c>
      <c r="C4" s="73" t="inlineStr">
        <is>
          <t>The Holdout Quarter</t>
        </is>
      </c>
      <c r="D4" s="108" t="inlineStr">
        <is>
          <t>The glitches are the Inadvertent Ocean's revenge. The water is filing complaints through the fabric of reality.</t>
        </is>
      </c>
      <c r="E4" s="109" t="inlineStr">
        <is>
          <t>'I've lived here since before the fish died. The fish knew something. I'm starting to think the fish were right.'</t>
        </is>
      </c>
      <c r="F4" s="110" t="inlineStr">
        <is>
          <t>Trusts Grandpa Lou. Suspicious of everyone else. Useful for historical context.</t>
        </is>
      </c>
      <c r="G4" s="111" t="inlineStr">
        <is>
          <t>HIGH — Notices changes but attributes them to the ocean's anger.</t>
        </is>
      </c>
    </row>
    <row r="5" ht="60" customHeight="1">
      <c r="A5" s="106" t="inlineStr">
        <is>
          <t>RAYMOND STAYS</t>
        </is>
      </c>
      <c r="B5" s="107" t="inlineStr">
        <is>
          <t>HOLDOUT</t>
        </is>
      </c>
      <c r="C5" s="82" t="inlineStr">
        <is>
          <t>The Holdout Quarter</t>
        </is>
      </c>
      <c r="D5" s="102" t="inlineStr">
        <is>
          <t>The glitches are a bureaucratic error that will be corrected once the right form is filed with the right office.</t>
        </is>
      </c>
      <c r="E5" s="103" t="inlineStr">
        <is>
          <t>'I've submitted seventeen complaints. The Office of Bureaucratic Tautology Office has acknowledged receipt of none of them. This is, technically, progress.'</t>
        </is>
      </c>
      <c r="F5" s="104" t="inlineStr">
        <is>
          <t>Provides Jonah with historical seam data. Unintentionally.</t>
        </is>
      </c>
      <c r="G5" s="105" t="inlineStr">
        <is>
          <t>MEDIUM — Notices changes but files them under 'pending review'.</t>
        </is>
      </c>
    </row>
    <row r="6" ht="60" customHeight="1">
      <c r="A6" s="106" t="inlineStr">
        <is>
          <t>CONSUELO AQUÍ</t>
        </is>
      </c>
      <c r="B6" s="107" t="inlineStr">
        <is>
          <t>HOLDOUT</t>
        </is>
      </c>
      <c r="C6" s="73" t="inlineStr">
        <is>
          <t>Archived Without Comment Ave</t>
        </is>
      </c>
      <c r="D6" s="108" t="inlineStr">
        <is>
          <t>The glitches are proof that the original development plans for Port Meridian were cosmically correct and the universe is trying to implement them.</t>
        </is>
      </c>
      <c r="E6" s="109" t="inlineStr">
        <is>
          <t>'The 1929 prospectus said gateway to the Pacific. I believe it. The Pacific is simply taking its time.'</t>
        </is>
      </c>
      <c r="F6" s="110" t="inlineStr">
        <is>
          <t>Provides Naomi with pre-echo data about the town's original intended reality.</t>
        </is>
      </c>
      <c r="G6" s="111" t="inlineStr">
        <is>
          <t>LOW — Interprets all changes as confirmation of the original plan.</t>
        </is>
      </c>
    </row>
    <row r="7" ht="60" customHeight="1">
      <c r="A7" s="112" t="inlineStr">
        <is>
          <t>VESPER FLUX</t>
        </is>
      </c>
      <c r="B7" s="113" t="inlineStr">
        <is>
          <t>TRANSPLANT</t>
        </is>
      </c>
      <c r="C7" s="82" t="inlineStr">
        <is>
          <t>The Transplant Studios</t>
        </is>
      </c>
      <c r="D7" s="102" t="inlineStr">
        <is>
          <t>The glitches are the universe's contribution to the Biennale. They are the most important art installation in Port Meridian.</t>
        </is>
      </c>
      <c r="E7" s="103" t="inlineStr">
        <is>
          <t>'I've been documenting the anomalies for three years. My grant proposal describes them as site-specific interventions by a non-human collaborator.'</t>
        </is>
      </c>
      <c r="F7" s="104" t="inlineStr">
        <is>
          <t>Works with Ella. Provides artistic framing for glitch events.</t>
        </is>
      </c>
      <c r="G7" s="85" t="inlineStr">
        <is>
          <t>VERY HIGH — Actively seeks Mandela moments as source material.</t>
        </is>
      </c>
    </row>
    <row r="8" ht="60" customHeight="1">
      <c r="A8" s="114" t="inlineStr">
        <is>
          <t>PROFESSOR MAYBE</t>
        </is>
      </c>
      <c r="B8" s="113" t="inlineStr">
        <is>
          <t>TRANSPLANT</t>
        </is>
      </c>
      <c r="C8" s="73" t="inlineStr">
        <is>
          <t>The Institute for Tautological Studies</t>
        </is>
      </c>
      <c r="D8" s="108" t="inlineStr">
        <is>
          <t>The glitches do not exist because whatever is happening is, by definition, what is happening. His research confirms this.</t>
        </is>
      </c>
      <c r="E8" s="109" t="inlineStr">
        <is>
          <t>'I have published fourteen papers on the subject of things being what they are. My fifteenth paper will address the question of why they are what they are. It will conclude: because they are.'</t>
        </is>
      </c>
      <c r="F8" s="110" t="inlineStr">
        <is>
          <t>Provides Milo with a perfect example of Error Vision in human form.</t>
        </is>
      </c>
      <c r="G8" s="111" t="inlineStr">
        <is>
          <t>ZERO — Constitutionally incapable of perceiving change.</t>
        </is>
      </c>
    </row>
    <row r="9" ht="60" customHeight="1">
      <c r="A9" s="115" t="inlineStr">
        <is>
          <t>SOLANGE ARRIVES</t>
        </is>
      </c>
      <c r="B9" s="113" t="inlineStr">
        <is>
          <t>TRANSPLANT</t>
        </is>
      </c>
      <c r="C9" s="82" t="inlineStr">
        <is>
          <t>The Hermitage of Provisional Conclusions</t>
        </is>
      </c>
      <c r="D9" s="102" t="inlineStr">
        <is>
          <t>The glitches are invitations to update one's priors. She updates her priors approximately forty times per day.</t>
        </is>
      </c>
      <c r="E9" s="103" t="inlineStr">
        <is>
          <t>'I used to think the street was called Phrenology Drive. Now I think it was always called something else. Both are true. Neither is the point.'</t>
        </is>
      </c>
      <c r="F9" s="104" t="inlineStr">
        <is>
          <t>Provides Naomi with a peer relationship. They disagree productively.</t>
        </is>
      </c>
      <c r="G9" s="85" t="inlineStr">
        <is>
          <t>EXTREME — Perceives every Mandela moment and considers it a gift.</t>
        </is>
      </c>
    </row>
    <row r="10" ht="60" customHeight="1">
      <c r="A10" s="116" t="inlineStr">
        <is>
          <t>THE COORDINATOR</t>
        </is>
      </c>
      <c r="B10" s="117" t="inlineStr">
        <is>
          <t>NOMAD</t>
        </is>
      </c>
      <c r="C10" s="73" t="inlineStr">
        <is>
          <t>The Nomad Encampment</t>
        </is>
      </c>
      <c r="D10" s="108" t="inlineStr">
        <is>
          <t>The glitches are a coded transmission from a parallel Port Meridian where everything worked out. They are trying to send instructions.</t>
        </is>
      </c>
      <c r="E10" s="109" t="inlineStr">
        <is>
          <t>'The message is in the frequency. The frequency is in the chirp. The chirp is the Grasshopper. The Grasshopper is the message. I've been saying this for months.'</t>
        </is>
      </c>
      <c r="F10" s="110" t="inlineStr">
        <is>
          <t>Provides Jonah with seam location data. Occasionally correct.</t>
        </is>
      </c>
      <c r="G10" s="76" t="inlineStr">
        <is>
          <t>EXTREME — Runs the most accurate Mandela Effect newsletter in the encampment.</t>
        </is>
      </c>
    </row>
    <row r="11" ht="60" customHeight="1">
      <c r="A11" s="116" t="inlineStr">
        <is>
          <t>NEWSLETTER #4 COLLECTIVE</t>
        </is>
      </c>
      <c r="B11" s="117" t="inlineStr">
        <is>
          <t>NOMAD</t>
        </is>
      </c>
      <c r="C11" s="82" t="inlineStr">
        <is>
          <t>The Nomad Relay Station</t>
        </is>
      </c>
      <c r="D11" s="102" t="inlineStr">
        <is>
          <t>The glitches are evidence of a time loop. Port Meridian has already been through this. The loop is tightening.</t>
        </is>
      </c>
      <c r="E11" s="103" t="inlineStr">
        <is>
          <t>'This is the fourth time I've written this newsletter. The other three times, it said something different. I am aware of this. I am choosing to continue.'</t>
        </is>
      </c>
      <c r="F11" s="104" t="inlineStr">
        <is>
          <t>Provides Milo with a complete error log going back six months. Partially accurate.</t>
        </is>
      </c>
      <c r="G11" s="105" t="inlineStr">
        <is>
          <t>HIGH — Remembers multiple versions but cannot agree on which is primary.</t>
        </is>
      </c>
    </row>
    <row r="12" ht="60" customHeight="1">
      <c r="A12" s="116" t="inlineStr">
        <is>
          <t>ZENO OF THE ENCAMPMENT</t>
        </is>
      </c>
      <c r="B12" s="117" t="inlineStr">
        <is>
          <t>NOMAD</t>
        </is>
      </c>
      <c r="C12" s="73" t="inlineStr">
        <is>
          <t>The Nomad Encampment</t>
        </is>
      </c>
      <c r="D12" s="108" t="inlineStr">
        <is>
          <t>The glitches are proof that Port Meridian is approaching its final state asymptotically. It will never fully arrive, but it is always getting closer.</t>
        </is>
      </c>
      <c r="E12" s="109" t="inlineStr">
        <is>
          <t>'We have been almost there for ninety years. I find this comforting.'</t>
        </is>
      </c>
      <c r="F12" s="110" t="inlineStr">
        <is>
          <t>Provides philosophical context for Grandpa Lou's ancestral timeline work.</t>
        </is>
      </c>
      <c r="G12" s="111" t="inlineStr">
        <is>
          <t>MEDIUM — Perceives the approach but not the destination.</t>
        </is>
      </c>
    </row>
  </sheetData>
  <mergeCells count="1">
    <mergeCell ref="A1:G1"/>
  </mergeCells>
  <pageMargins left="0.75" right="0.75" top="1" bottom="1" header="0.5" footer="0.5"/>
</worksheet>
</file>

<file path=xl/worksheets/sheet6.xml><?xml version="1.0" encoding="utf-8"?>
<worksheet xmlns="http://schemas.openxmlformats.org/spreadsheetml/2006/main">
  <sheetPr>
    <tabColor rgb="00EF4444"/>
    <outlinePr summaryBelow="1" summaryRight="1"/>
    <pageSetUpPr/>
  </sheetPr>
  <dimension ref="A1:M17"/>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22" customWidth="1" min="3" max="3"/>
    <col width="30" customWidth="1" min="4" max="4"/>
    <col width="24" customWidth="1" min="5" max="5"/>
    <col width="24" customWidth="1" min="6" max="6"/>
    <col width="16" customWidth="1" min="7" max="7"/>
    <col width="28" customWidth="1" min="8" max="8"/>
    <col width="20" customWidth="1" min="9" max="9"/>
    <col width="18" customWidth="1" min="10" max="10"/>
    <col width="16" customWidth="1" min="11" max="11"/>
    <col width="18" customWidth="1" min="12" max="12"/>
  </cols>
  <sheetData>
    <row r="1">
      <c r="A1" s="118" t="inlineStr">
        <is>
          <t>⚡  THE GLITCHES  ·  15 Case Files  ·  The Parables Made Playable</t>
        </is>
      </c>
      <c r="M1" t="inlineStr">
        <is>
          <t>ESCALATION LEVEL</t>
        </is>
      </c>
    </row>
    <row r="2">
      <c r="A2" s="67" t="inlineStr">
        <is>
          <t>#</t>
        </is>
      </c>
      <c r="B2" s="65" t="inlineStr">
        <is>
          <t>GLITCH NAME</t>
        </is>
      </c>
      <c r="C2" s="64" t="inlineStr">
        <is>
          <t>LOCATION</t>
        </is>
      </c>
      <c r="D2" s="119" t="inlineStr">
        <is>
          <t>DESCRIPTION</t>
        </is>
      </c>
      <c r="E2" s="61" t="inlineStr">
        <is>
          <t>LEAPERS REQUIRED</t>
        </is>
      </c>
      <c r="F2" s="120" t="inlineStr">
        <is>
          <t>NEIGHBORS INVOLVED</t>
        </is>
      </c>
      <c r="G2" s="62" t="inlineStr">
        <is>
          <t>STATUS</t>
        </is>
      </c>
      <c r="H2" s="68" t="inlineStr">
        <is>
          <t>RESOLUTION PATH</t>
        </is>
      </c>
      <c r="I2" s="69" t="inlineStr">
        <is>
          <t>PARABLE SOURCE</t>
        </is>
      </c>
      <c r="J2" s="146" t="inlineStr">
        <is>
          <t>AUTO TRIGGER</t>
        </is>
      </c>
      <c r="K2" s="146" t="inlineStr">
        <is>
          <t>REALITY STRAIN</t>
        </is>
      </c>
      <c r="L2" s="146" t="inlineStr">
        <is>
          <t>AUTO STATUS</t>
        </is>
      </c>
      <c r="M2">
        <f>IF(🧠 EVOLUTION!B4="FRACTURING","CASCADING",IF(H2="ACTIVE","ESCALATED","DORMANT"))</f>
        <v/>
      </c>
    </row>
    <row r="3" ht="55" customHeight="1">
      <c r="A3" s="121" t="n">
        <v>1</v>
      </c>
      <c r="B3" s="89" t="inlineStr">
        <is>
          <t>The Mandela Overture</t>
        </is>
      </c>
      <c r="C3" s="82" t="inlineStr">
        <is>
          <t>The Ski &amp; Inn</t>
        </is>
      </c>
      <c r="D3" s="102" t="inlineStr">
        <is>
          <t>The dollar bills on the wall now bear signatures of people the Trickster insists have always been there. No one else remembers them.</t>
        </is>
      </c>
      <c r="E3" s="104" t="inlineStr">
        <is>
          <t>GRANDPA LOU + JONAH</t>
        </is>
      </c>
      <c r="F3" s="122" t="inlineStr">
        <is>
          <t>THE TRICKSTER</t>
        </is>
      </c>
      <c r="G3" s="123" t="inlineStr">
        <is>
          <t>OPEN</t>
        </is>
      </c>
      <c r="H3" s="124" t="inlineStr">
        <is>
          <t>Cross-reference Lou's Archive with the Trickster's memory. The discrepancy IS the data.</t>
        </is>
      </c>
      <c r="I3" s="125" t="inlineStr">
        <is>
          <t>Parable 1: The Familiar Stranger</t>
        </is>
      </c>
      <c r="J3">
        <f>IF(SUMPRODUCT(--ISNUMBER(SEARCH($C3,'🔀 THE MANDELA'!$A$4:$A$23)),--('🔀 THE MANDELA'!$D$4:$D$23&lt;&gt;"NONE"))&gt;0,"YES","NO")</f>
        <v/>
      </c>
      <c r="K3">
        <f>SUMPRODUCT(--ISNUMBER(SEARCH($C3,'🔀 THE MANDELA'!$A$4:$A$23)),(('🔀 THE MANDELA'!$D$4:$D$23="LOW")*1+('🔀 THE MANDELA'!$D$4:$D$23="MEDIUM")*2+('🔀 THE MANDELA'!$D$4:$D$23="HIGH")*3))</f>
        <v/>
      </c>
      <c r="L3">
        <f>IF($J3="YES",IF($K3&gt;=2,"ACTIVE",$G3),$G3)</f>
        <v/>
      </c>
      <c r="M3">
        <f>IF(🧠 EVOLUTION!B4="FRACTURING","CASCADING",IF(H3="ACTIVE","ESCALATED","DORMANT"))</f>
        <v/>
      </c>
    </row>
    <row r="4" ht="55" customHeight="1">
      <c r="A4" s="121" t="n">
        <v>2</v>
      </c>
      <c r="B4" s="89" t="inlineStr">
        <is>
          <t>The Street That Moved</t>
        </is>
      </c>
      <c r="C4" s="73" t="inlineStr">
        <is>
          <t>Phrenology Dr / Alchemy Way</t>
        </is>
      </c>
      <c r="D4" s="108" t="inlineStr">
        <is>
          <t>Phrenology Drive and Alchemy Way have swapped positions on the grid. The residents of each street insist they have always lived where they are.</t>
        </is>
      </c>
      <c r="E4" s="110" t="inlineStr">
        <is>
          <t>MILO + NAOMI</t>
        </is>
      </c>
      <c r="F4" s="126" t="inlineStr">
        <is>
          <t>DOLORES PERMANENTE</t>
        </is>
      </c>
      <c r="G4" s="123" t="inlineStr">
        <is>
          <t>OPEN</t>
        </is>
      </c>
      <c r="H4" s="127" t="inlineStr">
        <is>
          <t>Milo reads the error. Naomi receives the pre-echo. The street moved three weeks ago. The memory moved with it.</t>
        </is>
      </c>
      <c r="I4" s="125" t="inlineStr">
        <is>
          <t>Parable 2: The Relocated Landmark</t>
        </is>
      </c>
      <c r="J4">
        <f>IF(SUMPRODUCT(--ISNUMBER(SEARCH($C4,'🔀 THE MANDELA'!$A$4:$A$23)),--('🔀 THE MANDELA'!$D$4:$D$23&lt;&gt;"NONE"))&gt;0,"YES","NO")</f>
        <v/>
      </c>
      <c r="K4">
        <f>SUMPRODUCT(--ISNUMBER(SEARCH($C4,'🔀 THE MANDELA'!$A$4:$A$23)),(('🔀 THE MANDELA'!$D$4:$D$23="LOW")*1+('🔀 THE MANDELA'!$D$4:$D$23="MEDIUM")*2+('🔀 THE MANDELA'!$D$4:$D$23="HIGH")*3))</f>
        <v/>
      </c>
      <c r="L4">
        <f>IF($J4="YES",IF($K4&gt;=2,"ACTIVE",$G4),$G4)</f>
        <v/>
      </c>
      <c r="M4">
        <f>IF(🧠 EVOLUTION!B4="FRACTURING","CASCADING",IF(H4="ACTIVE","ESCALATED","DORMANT"))</f>
        <v/>
      </c>
    </row>
    <row r="5" ht="55" customHeight="1">
      <c r="A5" s="121" t="n">
        <v>3</v>
      </c>
      <c r="B5" s="89" t="inlineStr">
        <is>
          <t>The Transit Hub Arrival</t>
        </is>
      </c>
      <c r="C5" s="82" t="inlineStr">
        <is>
          <t>The Port Meridian Transit Hub</t>
        </is>
      </c>
      <c r="D5" s="102" t="inlineStr">
        <is>
          <t>A train arrived. There are no tracks. The PA announced it on time. Three Nomads claim to have boarded it.</t>
        </is>
      </c>
      <c r="E5" s="104" t="inlineStr">
        <is>
          <t>JONAH + ELLA</t>
        </is>
      </c>
      <c r="F5" s="122" t="inlineStr">
        <is>
          <t>THE COORDINATOR</t>
        </is>
      </c>
      <c r="G5" s="128" t="inlineStr">
        <is>
          <t>INVESTIGATING</t>
        </is>
      </c>
      <c r="H5" s="124" t="inlineStr">
        <is>
          <t>Ella's art may be able to rewrite the Hub's relationship to the concept of arrival. Jonah must be placed at the platform.</t>
        </is>
      </c>
      <c r="I5" s="125" t="inlineStr">
        <is>
          <t>Parable 3: The Impossible Schedule</t>
        </is>
      </c>
      <c r="J5">
        <f>IF(SUMPRODUCT(--ISNUMBER(SEARCH($C5,'🔀 THE MANDELA'!$A$4:$A$23)),--('🔀 THE MANDELA'!$D$4:$D$23&lt;&gt;"NONE"))&gt;0,"YES","NO")</f>
        <v/>
      </c>
      <c r="K5">
        <f>SUMPRODUCT(--ISNUMBER(SEARCH($C5,'🔀 THE MANDELA'!$A$4:$A$23)),(('🔀 THE MANDELA'!$D$4:$D$23="LOW")*1+('🔀 THE MANDELA'!$D$4:$D$23="MEDIUM")*2+('🔀 THE MANDELA'!$D$4:$D$23="HIGH")*3))</f>
        <v/>
      </c>
      <c r="L5">
        <f>IF($J5="YES",IF($K5&gt;=2,"ACTIVE",$G5),$G5)</f>
        <v/>
      </c>
      <c r="M5">
        <f>IF(🧠 EVOLUTION!B4="FRACTURING","CASCADING",IF(H5="ACTIVE","ESCALATED","DORMANT"))</f>
        <v/>
      </c>
    </row>
    <row r="6" ht="55" customHeight="1">
      <c r="A6" s="121" t="n">
        <v>4</v>
      </c>
      <c r="B6" s="89" t="inlineStr">
        <is>
          <t>The Tautological Loop</t>
        </is>
      </c>
      <c r="C6" s="73" t="inlineStr">
        <is>
          <t>The Institute for Tautological Studies</t>
        </is>
      </c>
      <c r="D6" s="108" t="inlineStr">
        <is>
          <t>Professor Maybe has published a paper proving the glitches do not exist. The paper itself is a glitch. It cites itself as its primary source.</t>
        </is>
      </c>
      <c r="E6" s="110" t="inlineStr">
        <is>
          <t>MILO</t>
        </is>
      </c>
      <c r="F6" s="126" t="inlineStr">
        <is>
          <t>PROFESSOR MAYBE</t>
        </is>
      </c>
      <c r="G6" s="123" t="inlineStr">
        <is>
          <t>OPEN</t>
        </is>
      </c>
      <c r="H6" s="127" t="inlineStr">
        <is>
          <t>Milo must document the self-referential error. The documentation will become part of the loop. This is the resolution.</t>
        </is>
      </c>
      <c r="I6" s="125" t="inlineStr">
        <is>
          <t>Parable 4: The Self-Proving Theorem</t>
        </is>
      </c>
      <c r="J6">
        <f>IF(SUMPRODUCT(--ISNUMBER(SEARCH($C6,'🔀 THE MANDELA'!$A$4:$A$23)),--('🔀 THE MANDELA'!$D$4:$D$23&lt;&gt;"NONE"))&gt;0,"YES","NO")</f>
        <v/>
      </c>
      <c r="K6">
        <f>SUMPRODUCT(--ISNUMBER(SEARCH($C6,'🔀 THE MANDELA'!$A$4:$A$23)),(('🔀 THE MANDELA'!$D$4:$D$23="LOW")*1+('🔀 THE MANDELA'!$D$4:$D$23="MEDIUM")*2+('🔀 THE MANDELA'!$D$4:$D$23="HIGH")*3))</f>
        <v/>
      </c>
      <c r="L6">
        <f>IF($J6="YES",IF($K6&gt;=2,"ACTIVE",$G6),$G6)</f>
        <v/>
      </c>
      <c r="M6">
        <f>IF(🧠 EVOLUTION!B4="FRACTURING","CASCADING",IF(H6="ACTIVE","ESCALATED","DORMANT"))</f>
        <v/>
      </c>
    </row>
    <row r="7" ht="55" customHeight="1">
      <c r="A7" s="121" t="n">
        <v>5</v>
      </c>
      <c r="B7" s="89" t="inlineStr">
        <is>
          <t>The Yacht Club Regatta</t>
        </is>
      </c>
      <c r="C7" s="82" t="inlineStr">
        <is>
          <t>The Port Meridian Yacht Club</t>
        </is>
      </c>
      <c r="D7" s="102" t="inlineStr">
        <is>
          <t>A regatta has been scheduled. There are no yachts. There is no water. The billiards table has been rearranged to suggest a starting line.</t>
        </is>
      </c>
      <c r="E7" s="104" t="inlineStr">
        <is>
          <t>NAOMI + GRANDPA LOU</t>
        </is>
      </c>
      <c r="F7" s="122" t="inlineStr">
        <is>
          <t>RAYMOND STAYS</t>
        </is>
      </c>
      <c r="G7" s="123" t="inlineStr">
        <is>
          <t>OPEN</t>
        </is>
      </c>
      <c r="H7" s="124" t="inlineStr">
        <is>
          <t>Naomi receives the pre-echo of a time when the Inadvertent Ocean was navigable. Lou confirms it from the archive. The regatta is a memory.</t>
        </is>
      </c>
      <c r="I7" s="125" t="inlineStr">
        <is>
          <t>Parable 5: The Phantom Event</t>
        </is>
      </c>
      <c r="J7">
        <f>IF(SUMPRODUCT(--ISNUMBER(SEARCH($C7,'🔀 THE MANDELA'!$A$4:$A$23)),--('🔀 THE MANDELA'!$D$4:$D$23&lt;&gt;"NONE"))&gt;0,"YES","NO")</f>
        <v/>
      </c>
      <c r="K7">
        <f>SUMPRODUCT(--ISNUMBER(SEARCH($C7,'🔀 THE MANDELA'!$A$4:$A$23)),(('🔀 THE MANDELA'!$D$4:$D$23="LOW")*1+('🔀 THE MANDELA'!$D$4:$D$23="MEDIUM")*2+('🔀 THE MANDELA'!$D$4:$D$23="HIGH")*3))</f>
        <v/>
      </c>
      <c r="L7">
        <f>IF($J7="YES",IF($K7&gt;=2,"ACTIVE",$G7),$G7)</f>
        <v/>
      </c>
      <c r="M7">
        <f>IF(🧠 EVOLUTION!B4="FRACTURING","CASCADING",IF(H7="ACTIVE","ESCALATED","DORMANT"))</f>
        <v/>
      </c>
    </row>
    <row r="8" ht="55" customHeight="1">
      <c r="A8" s="121" t="n">
        <v>6</v>
      </c>
      <c r="B8" s="89" t="inlineStr">
        <is>
          <t>The Hermitage Contradiction</t>
        </is>
      </c>
      <c r="C8" s="73" t="inlineStr">
        <is>
          <t>The Hermitage of Provisional Conclusions</t>
        </is>
      </c>
      <c r="D8" s="108" t="inlineStr">
        <is>
          <t>Two sticky notes on opposite walls now say the same thing. They did not say the same thing yesterday. The note reads: 'This has always been true.'</t>
        </is>
      </c>
      <c r="E8" s="110" t="inlineStr">
        <is>
          <t>ELLA + NAOMI</t>
        </is>
      </c>
      <c r="F8" s="126" t="inlineStr">
        <is>
          <t>SOLANGE ARRIVES</t>
        </is>
      </c>
      <c r="G8" s="123" t="inlineStr">
        <is>
          <t>OPEN</t>
        </is>
      </c>
      <c r="H8" s="127" t="inlineStr">
        <is>
          <t>Ella rewrites one note. Naomi receives the echo of the original. The contradiction resolves into a paradox, which is considered a successful outcome.</t>
        </is>
      </c>
      <c r="I8" s="125" t="inlineStr">
        <is>
          <t>Parable 6: The Agreeing Opposites</t>
        </is>
      </c>
      <c r="J8">
        <f>IF(SUMPRODUCT(--ISNUMBER(SEARCH($C8,'🔀 THE MANDELA'!$A$4:$A$23)),--('🔀 THE MANDELA'!$D$4:$D$23&lt;&gt;"NONE"))&gt;0,"YES","NO")</f>
        <v/>
      </c>
      <c r="K8">
        <f>SUMPRODUCT(--ISNUMBER(SEARCH($C8,'🔀 THE MANDELA'!$A$4:$A$23)),(('🔀 THE MANDELA'!$D$4:$D$23="LOW")*1+('🔀 THE MANDELA'!$D$4:$D$23="MEDIUM")*2+('🔀 THE MANDELA'!$D$4:$D$23="HIGH")*3))</f>
        <v/>
      </c>
      <c r="L8">
        <f>IF($J8="YES",IF($K8&gt;=2,"ACTIVE",$G8),$G8)</f>
        <v/>
      </c>
      <c r="M8">
        <f>IF(🧠 EVOLUTION!B4="FRACTURING","CASCADING",IF(H8="ACTIVE","ESCALATED","DORMANT"))</f>
        <v/>
      </c>
    </row>
    <row r="9" ht="55" customHeight="1">
      <c r="A9" s="121" t="n">
        <v>7</v>
      </c>
      <c r="B9" s="89" t="inlineStr">
        <is>
          <t>The Forecast Correction</t>
        </is>
      </c>
      <c r="C9" s="82" t="inlineStr">
        <is>
          <t>The Optimistic Forecast Station</t>
        </is>
      </c>
      <c r="D9" s="102" t="inlineStr">
        <is>
          <t>The display now reads: 'Conditions: Unstable. Outlook: Uncertain. Confidence Level: Updating.' It has never read anything other than Stable/Improving/High.</t>
        </is>
      </c>
      <c r="E9" s="104" t="inlineStr">
        <is>
          <t>MILO + JONAH</t>
        </is>
      </c>
      <c r="F9" s="122" t="inlineStr">
        <is>
          <t>CONSUELO AQUÍ</t>
        </is>
      </c>
      <c r="G9" s="128" t="inlineStr">
        <is>
          <t>INVESTIGATING</t>
        </is>
      </c>
      <c r="H9" s="124" t="inlineStr">
        <is>
          <t>Milo reads the error code in the display's new state. Jonah was placed at the station before it changed. He saw it happen.</t>
        </is>
      </c>
      <c r="I9" s="125" t="inlineStr">
        <is>
          <t>Parable 7: The Honest Machine</t>
        </is>
      </c>
      <c r="J9">
        <f>IF(SUMPRODUCT(--ISNUMBER(SEARCH($C9,'🔀 THE MANDELA'!$A$4:$A$23)),--('🔀 THE MANDELA'!$D$4:$D$23&lt;&gt;"NONE"))&gt;0,"YES","NO")</f>
        <v/>
      </c>
      <c r="K9">
        <f>SUMPRODUCT(--ISNUMBER(SEARCH($C9,'🔀 THE MANDELA'!$A$4:$A$23)),(('🔀 THE MANDELA'!$D$4:$D$23="LOW")*1+('🔀 THE MANDELA'!$D$4:$D$23="MEDIUM")*2+('🔀 THE MANDELA'!$D$4:$D$23="HIGH")*3))</f>
        <v/>
      </c>
      <c r="L9">
        <f>IF($J9="YES",IF($K9&gt;=2,"ACTIVE",$G9),$G9)</f>
        <v/>
      </c>
      <c r="M9">
        <f>IF(🧠 EVOLUTION!B4="FRACTURING","CASCADING",IF(H9="ACTIVE","ESCALATED","DORMANT"))</f>
        <v/>
      </c>
    </row>
    <row r="10" ht="55" customHeight="1">
      <c r="A10" s="121" t="n">
        <v>8</v>
      </c>
      <c r="B10" s="89" t="inlineStr">
        <is>
          <t>The Corkboard Revision</t>
        </is>
      </c>
      <c r="C10" s="73" t="inlineStr">
        <is>
          <t>The Corkboard Hub</t>
        </is>
      </c>
      <c r="D10" s="108" t="inlineStr">
        <is>
          <t>Three case files on the corkboard have been revised. The handwriting matches all five Leapers simultaneously. None of them remember revising them.</t>
        </is>
      </c>
      <c r="E10" s="110" t="inlineStr">
        <is>
          <t>ALL FIVE LEAPERS</t>
        </is>
      </c>
      <c r="F10" s="126" t="inlineStr">
        <is>
          <t>NONE</t>
        </is>
      </c>
      <c r="G10" s="123" t="inlineStr">
        <is>
          <t>OPEN</t>
        </is>
      </c>
      <c r="H10" s="127" t="inlineStr">
        <is>
          <t>The corkboard is revising itself. The resolution requires all five Leapers to be present and to agree on what the files originally said.</t>
        </is>
      </c>
      <c r="I10" s="125" t="inlineStr">
        <is>
          <t>Parable 8: The Collective Memory</t>
        </is>
      </c>
      <c r="J10">
        <f>IF(SUMPRODUCT(--ISNUMBER(SEARCH($C10,'🔀 THE MANDELA'!$A$4:$A$23)),--('🔀 THE MANDELA'!$D$4:$D$23&lt;&gt;"NONE"))&gt;0,"YES","NO")</f>
        <v/>
      </c>
      <c r="K10">
        <f>SUMPRODUCT(--ISNUMBER(SEARCH($C10,'🔀 THE MANDELA'!$A$4:$A$23)),(('🔀 THE MANDELA'!$D$4:$D$23="LOW")*1+('🔀 THE MANDELA'!$D$4:$D$23="MEDIUM")*2+('🔀 THE MANDELA'!$D$4:$D$23="HIGH")*3))</f>
        <v/>
      </c>
      <c r="L10">
        <f>IF($J10="YES",IF($K10&gt;=2,"ACTIVE",$G10),$G10)</f>
        <v/>
      </c>
      <c r="M10">
        <f>IF(🧠 EVOLUTION!B4="FRACTURING","CASCADING",IF(H10="ACTIVE","ESCALATED","DORMANT"))</f>
        <v/>
      </c>
    </row>
    <row r="11" ht="55" customHeight="1">
      <c r="A11" s="121" t="n">
        <v>9</v>
      </c>
      <c r="B11" s="89" t="inlineStr">
        <is>
          <t>The Nomad Newsletter</t>
        </is>
      </c>
      <c r="C11" s="82" t="inlineStr">
        <is>
          <t>The Nomad Relay Station</t>
        </is>
      </c>
      <c r="D11" s="102" t="inlineStr">
        <is>
          <t>Newsletter #4 has published an edition that accurately describes events that have not yet happened. The printer denies printing it.</t>
        </is>
      </c>
      <c r="E11" s="104" t="inlineStr">
        <is>
          <t>NAOMI + MILO</t>
        </is>
      </c>
      <c r="F11" s="122" t="inlineStr">
        <is>
          <t>NEWSLETTER #4 COLLECTIVE</t>
        </is>
      </c>
      <c r="G11" s="123" t="inlineStr">
        <is>
          <t>OPEN</t>
        </is>
      </c>
      <c r="H11" s="124" t="inlineStr">
        <is>
          <t>Naomi receives the pre-echo of the events described. Milo identifies the error: the newsletter is printing from a future cache.</t>
        </is>
      </c>
      <c r="I11" s="125" t="inlineStr">
        <is>
          <t>Parable 9: The Prophetic Error</t>
        </is>
      </c>
      <c r="J11">
        <f>IF(SUMPRODUCT(--ISNUMBER(SEARCH($C11,'🔀 THE MANDELA'!$A$4:$A$23)),--('🔀 THE MANDELA'!$D$4:$D$23&lt;&gt;"NONE"))&gt;0,"YES","NO")</f>
        <v/>
      </c>
      <c r="K11">
        <f>SUMPRODUCT(--ISNUMBER(SEARCH($C11,'🔀 THE MANDELA'!$A$4:$A$23)),(('🔀 THE MANDELA'!$D$4:$D$23="LOW")*1+('🔀 THE MANDELA'!$D$4:$D$23="MEDIUM")*2+('🔀 THE MANDELA'!$D$4:$D$23="HIGH")*3))</f>
        <v/>
      </c>
      <c r="L11">
        <f>IF($J11="YES",IF($K11&gt;=2,"ACTIVE",$G11),$G11)</f>
        <v/>
      </c>
      <c r="M11">
        <f>IF(🧠 EVOLUTION!B4="FRACTURING","CASCADING",IF(H11="ACTIVE","ESCALATED","DORMANT"))</f>
        <v/>
      </c>
    </row>
    <row r="12" ht="55" customHeight="1">
      <c r="A12" s="121" t="n">
        <v>10</v>
      </c>
      <c r="B12" s="89" t="inlineStr">
        <is>
          <t>The Submerged File</t>
        </is>
      </c>
      <c r="C12" s="73" t="inlineStr">
        <is>
          <t>The Submerged Archive</t>
        </is>
      </c>
      <c r="D12" s="108" t="inlineStr">
        <is>
          <t>A file from the archive has surfaced — literally, floating on the Inadvertent Ocean. It contains a document that predates the archive's founding.</t>
        </is>
      </c>
      <c r="E12" s="110" t="inlineStr">
        <is>
          <t>GRANDPA LOU + ELLA</t>
        </is>
      </c>
      <c r="F12" s="126" t="inlineStr">
        <is>
          <t>DOLORES PERMANENTE</t>
        </is>
      </c>
      <c r="G12" s="123" t="inlineStr">
        <is>
          <t>OPEN</t>
        </is>
      </c>
      <c r="H12" s="127" t="inlineStr">
        <is>
          <t>Lou must read the file. Ella must rewrite its relationship to time. The file is from the Deep Memory Layer, surfacing.</t>
        </is>
      </c>
      <c r="I12" s="125" t="inlineStr">
        <is>
          <t>Parable 10: The Ancestor's Message</t>
        </is>
      </c>
      <c r="J12">
        <f>IF(SUMPRODUCT(--ISNUMBER(SEARCH($C12,'🔀 THE MANDELA'!$A$4:$A$23)),--('🔀 THE MANDELA'!$D$4:$D$23&lt;&gt;"NONE"))&gt;0,"YES","NO")</f>
        <v/>
      </c>
      <c r="K12">
        <f>SUMPRODUCT(--ISNUMBER(SEARCH($C12,'🔀 THE MANDELA'!$A$4:$A$23)),(('🔀 THE MANDELA'!$D$4:$D$23="LOW")*1+('🔀 THE MANDELA'!$D$4:$D$23="MEDIUM")*2+('🔀 THE MANDELA'!$D$4:$D$23="HIGH")*3))</f>
        <v/>
      </c>
      <c r="L12">
        <f>IF($J12="YES",IF($K12&gt;=2,"ACTIVE",$G12),$G12)</f>
        <v/>
      </c>
      <c r="M12">
        <f>IF(🧠 EVOLUTION!B4="FRACTURING","CASCADING",IF(H12="ACTIVE","ESCALATED","DORMANT"))</f>
        <v/>
      </c>
    </row>
    <row r="13" ht="55" customHeight="1">
      <c r="A13" s="121" t="n">
        <v>11</v>
      </c>
      <c r="B13" s="89" t="inlineStr">
        <is>
          <t>The Swing's Direction</t>
        </is>
      </c>
      <c r="C13" s="82" t="inlineStr">
        <is>
          <t>The Swing</t>
        </is>
      </c>
      <c r="D13" s="102" t="inlineStr">
        <is>
          <t>The swing is now moving in a direction that does not correspond to any known wind pattern. It is moving toward a point in the Inadvertent Ocean that is not visible.</t>
        </is>
      </c>
      <c r="E13" s="104" t="inlineStr">
        <is>
          <t>JONAH + ELLA</t>
        </is>
      </c>
      <c r="F13" s="122" t="inlineStr">
        <is>
          <t>ZENO OF THE ENCAMPMENT</t>
        </is>
      </c>
      <c r="G13" s="123" t="inlineStr">
        <is>
          <t>OPEN</t>
        </is>
      </c>
      <c r="H13" s="124" t="inlineStr">
        <is>
          <t>Jonah was placed at the swing before it changed direction. Ella's art can follow the direction. The point it moves toward is Parable 15's site.</t>
        </is>
      </c>
      <c r="I13" s="125" t="inlineStr">
        <is>
          <t>Parable 11: The Compass Without North</t>
        </is>
      </c>
      <c r="J13">
        <f>IF(SUMPRODUCT(--ISNUMBER(SEARCH($C13,'🔀 THE MANDELA'!$A$4:$A$23)),--('🔀 THE MANDELA'!$D$4:$D$23&lt;&gt;"NONE"))&gt;0,"YES","NO")</f>
        <v/>
      </c>
      <c r="K13">
        <f>SUMPRODUCT(--ISNUMBER(SEARCH($C13,'🔀 THE MANDELA'!$A$4:$A$23)),(('🔀 THE MANDELA'!$D$4:$D$23="LOW")*1+('🔀 THE MANDELA'!$D$4:$D$23="MEDIUM")*2+('🔀 THE MANDELA'!$D$4:$D$23="HIGH")*3))</f>
        <v/>
      </c>
      <c r="L13">
        <f>IF($J13="YES",IF($K13&gt;=2,"ACTIVE",$G13),$G13)</f>
        <v/>
      </c>
      <c r="M13">
        <f>IF(🧠 EVOLUTION!B4="FRACTURING","CASCADING",IF(H13="ACTIVE","ESCALATED","DORMANT"))</f>
        <v/>
      </c>
    </row>
    <row r="14" ht="55" customHeight="1">
      <c r="A14" s="121" t="n">
        <v>12</v>
      </c>
      <c r="B14" s="89" t="inlineStr">
        <is>
          <t>The Office Opens</t>
        </is>
      </c>
      <c r="C14" s="73" t="inlineStr">
        <is>
          <t>The Office of Bureaucratic Tautology Office</t>
        </is>
      </c>
      <c r="D14" s="108" t="inlineStr">
        <is>
          <t>The Office of Bureaucratic Tautology Office is open. The sign still says it is closed. Inside, there is a single form. The form asks: 'What do you remember?'</t>
        </is>
      </c>
      <c r="E14" s="110" t="inlineStr">
        <is>
          <t>ALL FIVE LEAPERS</t>
        </is>
      </c>
      <c r="F14" s="126" t="inlineStr">
        <is>
          <t>RAYMOND STAYS</t>
        </is>
      </c>
      <c r="G14" s="128" t="inlineStr">
        <is>
          <t>INVESTIGATING</t>
        </is>
      </c>
      <c r="H14" s="127" t="inlineStr">
        <is>
          <t>Each Leaper must complete the form using their specific perceptual ability. The form changes based on who is holding it.</t>
        </is>
      </c>
      <c r="I14" s="125" t="inlineStr">
        <is>
          <t>Parable 12: The Open Question</t>
        </is>
      </c>
      <c r="J14">
        <f>IF(SUMPRODUCT(--ISNUMBER(SEARCH($C14,'🔀 THE MANDELA'!$A$4:$A$23)),--('🔀 THE MANDELA'!$D$4:$D$23&lt;&gt;"NONE"))&gt;0,"YES","NO")</f>
        <v/>
      </c>
      <c r="K14">
        <f>SUMPRODUCT(--ISNUMBER(SEARCH($C14,'🔀 THE MANDELA'!$A$4:$A$23)),(('🔀 THE MANDELA'!$D$4:$D$23="LOW")*1+('🔀 THE MANDELA'!$D$4:$D$23="MEDIUM")*2+('🔀 THE MANDELA'!$D$4:$D$23="HIGH")*3))</f>
        <v/>
      </c>
      <c r="L14">
        <f>IF($J14="YES",IF($K14&gt;=2,"ACTIVE",$G14),$G14)</f>
        <v/>
      </c>
      <c r="M14">
        <f>IF(🧠 EVOLUTION!B4="FRACTURING","CASCADING",IF(H14="ACTIVE","ESCALATED","DORMANT"))</f>
        <v/>
      </c>
    </row>
    <row r="15" ht="55" customHeight="1">
      <c r="A15" s="121" t="n">
        <v>13</v>
      </c>
      <c r="B15" s="89" t="inlineStr">
        <is>
          <t>The Deep Memory Breach</t>
        </is>
      </c>
      <c r="C15" s="82" t="inlineStr">
        <is>
          <t>The Deep Memory Layer</t>
        </is>
      </c>
      <c r="D15" s="102" t="inlineStr">
        <is>
          <t>The Cahuilla ancestral stratum is bleeding into the present. Residents are using words from a language they do not speak. They do not notice.</t>
        </is>
      </c>
      <c r="E15" s="104" t="inlineStr">
        <is>
          <t>GRANDPA LOU</t>
        </is>
      </c>
      <c r="F15" s="122" t="inlineStr">
        <is>
          <t>CONSUELO AQUÍ</t>
        </is>
      </c>
      <c r="G15" s="123" t="inlineStr">
        <is>
          <t>OPEN</t>
        </is>
      </c>
      <c r="H15" s="124" t="inlineStr">
        <is>
          <t>Lou must enter the Deep Memory Layer and locate the breach. Only his ANCESTRAL focus mode can navigate this zone.</t>
        </is>
      </c>
      <c r="I15" s="125" t="inlineStr">
        <is>
          <t>Parable 13: The Language of Before</t>
        </is>
      </c>
      <c r="J15">
        <f>IF(SUMPRODUCT(--ISNUMBER(SEARCH($C15,'🔀 THE MANDELA'!$A$4:$A$23)),--('🔀 THE MANDELA'!$D$4:$D$23&lt;&gt;"NONE"))&gt;0,"YES","NO")</f>
        <v/>
      </c>
      <c r="K15">
        <f>SUMPRODUCT(--ISNUMBER(SEARCH($C15,'🔀 THE MANDELA'!$A$4:$A$23)),(('🔀 THE MANDELA'!$D$4:$D$23="LOW")*1+('🔀 THE MANDELA'!$D$4:$D$23="MEDIUM")*2+('🔀 THE MANDELA'!$D$4:$D$23="HIGH")*3))</f>
        <v/>
      </c>
      <c r="L15">
        <f>IF($J15="YES",IF($K15&gt;=2,"ACTIVE",$G15),$G15)</f>
        <v/>
      </c>
      <c r="M15">
        <f>IF(🧠 EVOLUTION!B4="FRACTURING","CASCADING",IF(H15="ACTIVE","ESCALATED","DORMANT"))</f>
        <v/>
      </c>
    </row>
    <row r="16" ht="55" customHeight="1">
      <c r="A16" s="121" t="n">
        <v>14</v>
      </c>
      <c r="B16" s="89" t="inlineStr">
        <is>
          <t>The Grasshopper's Silence</t>
        </is>
      </c>
      <c r="C16" s="73" t="inlineStr">
        <is>
          <t>All of Port Meridian</t>
        </is>
      </c>
      <c r="D16" s="108" t="inlineStr">
        <is>
          <t>The chirp has stopped. The entire town has gone quiet in a way that is louder than sound. Every glitch has paused. Something is about to resolve.</t>
        </is>
      </c>
      <c r="E16" s="110" t="inlineStr">
        <is>
          <t>ALL FIVE LEAPERS</t>
        </is>
      </c>
      <c r="F16" s="126" t="inlineStr">
        <is>
          <t>THE TRICKSTER</t>
        </is>
      </c>
      <c r="G16" s="128" t="inlineStr">
        <is>
          <t>INVESTIGATING</t>
        </is>
      </c>
      <c r="H16" s="127" t="inlineStr">
        <is>
          <t>The Trickster knows what the silence means. They will not say directly. The Leapers must be at their respective nodes when the chirp returns.</t>
        </is>
      </c>
      <c r="I16" s="125" t="inlineStr">
        <is>
          <t>Parable 14: The Held Breath</t>
        </is>
      </c>
      <c r="J16">
        <f>IF(SUMPRODUCT(--ISNUMBER(SEARCH($C16,'🔀 THE MANDELA'!$A$4:$A$23)),--('🔀 THE MANDELA'!$D$4:$D$23&lt;&gt;"NONE"))&gt;0,"YES","NO")</f>
        <v/>
      </c>
      <c r="K16">
        <f>SUMPRODUCT(--ISNUMBER(SEARCH($C16,'🔀 THE MANDELA'!$A$4:$A$23)),(('🔀 THE MANDELA'!$D$4:$D$23="LOW")*1+('🔀 THE MANDELA'!$D$4:$D$23="MEDIUM")*2+('🔀 THE MANDELA'!$D$4:$D$23="HIGH")*3))</f>
        <v/>
      </c>
      <c r="L16">
        <f>IF($J16="YES",IF($K16&gt;=2,"ACTIVE",$G16),$G16)</f>
        <v/>
      </c>
      <c r="M16">
        <f>IF(🧠 EVOLUTION!B4="FRACTURING","CASCADING",IF(H16="ACTIVE","ESCALATED","DORMANT"))</f>
        <v/>
      </c>
    </row>
    <row r="17" ht="55" customHeight="1">
      <c r="A17" s="121" t="n">
        <v>15</v>
      </c>
      <c r="B17" s="89" t="inlineStr">
        <is>
          <t>The Convergence</t>
        </is>
      </c>
      <c r="C17" s="82" t="inlineStr">
        <is>
          <t>The Parable 15 Site</t>
        </is>
      </c>
      <c r="D17" s="102" t="inlineStr">
        <is>
          <t>All 14 preceding glitches have converged at a single point on the grid. The Grasshopper is audible. The Inadvertent Ocean is still. Something is being offered.</t>
        </is>
      </c>
      <c r="E17" s="104" t="inlineStr">
        <is>
          <t>ALL FIVE LEAPERS</t>
        </is>
      </c>
      <c r="F17" s="122" t="inlineStr">
        <is>
          <t>ALL NEIGHBORS</t>
        </is>
      </c>
      <c r="G17" s="123" t="inlineStr">
        <is>
          <t>OPEN</t>
        </is>
      </c>
      <c r="H17" s="124" t="inlineStr">
        <is>
          <t>The final case. All Leapers present. All neighbors in their positions. The Grasshopper's challenge: face the Fear of Boredom and choose to leap. The resolution is the player's choice.</t>
        </is>
      </c>
      <c r="I17" s="125" t="inlineStr">
        <is>
          <t>Parable 15: The Great Leap</t>
        </is>
      </c>
      <c r="J17">
        <f>IF(SUMPRODUCT(--ISNUMBER(SEARCH($C17,'🔀 THE MANDELA'!$A$4:$A$23)),--('🔀 THE MANDELA'!$D$4:$D$23&lt;&gt;"NONE"))&gt;0,"YES","NO")</f>
        <v/>
      </c>
      <c r="K17">
        <f>SUMPRODUCT(--ISNUMBER(SEARCH($C17,'🔀 THE MANDELA'!$A$4:$A$23)),(('🔀 THE MANDELA'!$D$4:$D$23="LOW")*1+('🔀 THE MANDELA'!$D$4:$D$23="MEDIUM")*2+('🔀 THE MANDELA'!$D$4:$D$23="HIGH")*3))</f>
        <v/>
      </c>
      <c r="L17">
        <f>IF($J17="YES",IF($K17&gt;=2,"ACTIVE",$G17),$G17)</f>
        <v/>
      </c>
      <c r="M17">
        <f>IF(🧠 EVOLUTION!B4="FRACTURING","CASCADING",IF(H17="ACTIVE","ESCALATED","DORMANT"))</f>
        <v/>
      </c>
    </row>
  </sheetData>
  <mergeCells count="1">
    <mergeCell ref="A1:I1"/>
  </mergeCells>
  <conditionalFormatting sqref="G3:G17">
    <cfRule type="cellIs" priority="1" operator="equal" dxfId="0" stopIfTrue="0">
      <formula>"OPEN"</formula>
    </cfRule>
    <cfRule type="cellIs" priority="2" operator="equal" dxfId="1" stopIfTrue="0">
      <formula>"INVESTIGATING"</formula>
    </cfRule>
    <cfRule type="cellIs" priority="3" operator="equal" dxfId="2" stopIfTrue="0">
      <formula>"CLOSED"</formula>
    </cfRule>
  </conditionalFormatting>
  <conditionalFormatting sqref="A3:L17">
    <cfRule type="expression" priority="4" dxfId="3">
      <formula>$L3="ACTIVE"</formula>
    </cfRule>
  </conditionalFormatting>
  <conditionalFormatting sqref="M2:M17">
    <cfRule type="expression" priority="5" dxfId="8">
      <formula>$M2="CASCADING"</formula>
    </cfRule>
  </conditionalFormatting>
  <dataValidations count="1">
    <dataValidation sqref="G3:G17" showDropDown="0" showInputMessage="0" showErrorMessage="0" allowBlank="0" type="list">
      <formula1>"OPEN,INVESTIGATING,CLOSED"</formula1>
    </dataValidation>
  </dataValidations>
  <pageMargins left="0.75" right="0.75" top="1" bottom="1" header="0.5" footer="0.5"/>
</worksheet>
</file>

<file path=xl/worksheets/sheet7.xml><?xml version="1.0" encoding="utf-8"?>
<worksheet xmlns="http://schemas.openxmlformats.org/spreadsheetml/2006/main">
  <sheetPr>
    <tabColor rgb="00F59E0B"/>
    <outlinePr summaryBelow="1" summaryRight="1"/>
    <pageSetUpPr/>
  </sheetPr>
  <dimension ref="A1:C42"/>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60" customWidth="1" min="3" max="3"/>
  </cols>
  <sheetData>
    <row r="1">
      <c r="A1" s="98" t="inlineStr">
        <is>
          <t>📚  THE LORE  ·  The World Bible of Port Meridian  ·  Every Name. Every Motto. Every Truth.</t>
        </is>
      </c>
    </row>
    <row r="2">
      <c r="A2" s="129" t="inlineStr">
        <is>
          <t>CATEGORY</t>
        </is>
      </c>
      <c r="B2" s="130" t="inlineStr">
        <is>
          <t>ENTRY</t>
        </is>
      </c>
      <c r="C2" s="131" t="inlineStr">
        <is>
          <t>CANONICAL DESCRIPTION</t>
        </is>
      </c>
    </row>
    <row r="3" ht="40" customHeight="1">
      <c r="A3" s="41" t="inlineStr">
        <is>
          <t>WORLD</t>
        </is>
      </c>
      <c r="B3" s="132" t="inlineStr">
        <is>
          <t>Town Name</t>
        </is>
      </c>
      <c r="C3" s="74" t="inlineStr">
        <is>
          <t>Port Meridian — A port with no ships. A meridian of no global significance.</t>
        </is>
      </c>
    </row>
    <row r="4" ht="40" customHeight="1">
      <c r="A4" s="41" t="inlineStr">
        <is>
          <t>WORLD</t>
        </is>
      </c>
      <c r="B4" s="133" t="inlineStr">
        <is>
          <t>Original Name</t>
        </is>
      </c>
      <c r="C4" s="83" t="inlineStr">
        <is>
          <t>Bombay Beach, CA — The real place from which Port Meridian takes its oblique inspiration.</t>
        </is>
      </c>
    </row>
    <row r="5" ht="40" customHeight="1">
      <c r="A5" s="41" t="inlineStr">
        <is>
          <t>WORLD</t>
        </is>
      </c>
      <c r="B5" s="132" t="inlineStr">
        <is>
          <t>Elevation</t>
        </is>
      </c>
      <c r="C5" s="74" t="inlineStr">
        <is>
          <t>227 feet below sea level. There is a lot of below-ness in Port Meridian.</t>
        </is>
      </c>
    </row>
    <row r="6" ht="40" customHeight="1">
      <c r="A6" s="41" t="inlineStr">
        <is>
          <t>WORLD</t>
        </is>
      </c>
      <c r="B6" s="133" t="inlineStr">
        <is>
          <t>The Inadvertent Ocean</t>
        </is>
      </c>
      <c r="C6" s="83" t="inlineStr">
        <is>
          <t>The Salton Sea, renamed. Created by a 1905 engineering accident. A geological mistake that gave birth to a resort, then a ruin, then an art colony.</t>
        </is>
      </c>
    </row>
    <row r="7" ht="40" customHeight="1">
      <c r="A7" s="41" t="inlineStr">
        <is>
          <t>WORLD</t>
        </is>
      </c>
      <c r="B7" s="132" t="inlineStr">
        <is>
          <t>The Berm</t>
        </is>
      </c>
      <c r="C7" s="74" t="inlineStr">
        <is>
          <t>The earthen wall separating the town from the Inadvertent Ocean. The Threshold between the known and the Void.</t>
        </is>
      </c>
    </row>
    <row r="8" ht="40" customHeight="1">
      <c r="A8" s="41" t="inlineStr">
        <is>
          <t>WORLD</t>
        </is>
      </c>
      <c r="B8" s="133" t="inlineStr">
        <is>
          <t>Highway 111</t>
        </is>
      </c>
      <c r="C8" s="83" t="inlineStr">
        <is>
          <t>The only road in or out. In Port Meridian, it is simply called 'The Only Road.'</t>
        </is>
      </c>
    </row>
    <row r="9" ht="40" customHeight="1">
      <c r="A9" s="41" t="inlineStr">
        <is>
          <t>WORLD</t>
        </is>
      </c>
      <c r="B9" s="132" t="inlineStr">
        <is>
          <t>The Void</t>
        </is>
      </c>
      <c r="C9" s="74" t="inlineStr">
        <is>
          <t>Where deleted realities go. Corresponds to the deepest part of the Inadvertent Ocean.</t>
        </is>
      </c>
    </row>
    <row r="10" ht="40" customHeight="1">
      <c r="A10" s="41" t="inlineStr">
        <is>
          <t>WORLD</t>
        </is>
      </c>
      <c r="B10" s="133" t="inlineStr">
        <is>
          <t>The Deep Memory Layer</t>
        </is>
      </c>
      <c r="C10" s="83" t="inlineStr">
        <is>
          <t>The Cahuilla ancestral stratum beneath Port Meridian. The oldest timeline. Accessible only through Grandpa Lou.</t>
        </is>
      </c>
    </row>
    <row r="11" ht="40" customHeight="1">
      <c r="A11" s="37" t="inlineStr">
        <is>
          <t>GRID — AVENUES</t>
        </is>
      </c>
      <c r="B11" s="132" t="inlineStr">
        <is>
          <t>Phrenology Drive</t>
        </is>
      </c>
      <c r="C11" s="74" t="inlineStr">
        <is>
          <t>Named for the pseudoscience of reading character from skull shape. The most residential avenue.</t>
        </is>
      </c>
    </row>
    <row r="12" ht="40" customHeight="1">
      <c r="A12" s="37" t="inlineStr">
        <is>
          <t>GRID — AVENUES</t>
        </is>
      </c>
      <c r="B12" s="133" t="inlineStr">
        <is>
          <t>Alchemy Way</t>
        </is>
      </c>
      <c r="C12" s="83" t="inlineStr">
        <is>
          <t>Named for the proto-science of turning base metals to gold. The commercial strip, such as it is.</t>
        </is>
      </c>
    </row>
    <row r="13" ht="40" customHeight="1">
      <c r="A13" s="37" t="inlineStr">
        <is>
          <t>GRID — AVENUES</t>
        </is>
      </c>
      <c r="B13" s="132" t="inlineStr">
        <is>
          <t>Aetheric Physics Lane</t>
        </is>
      </c>
      <c r="C13" s="74" t="inlineStr">
        <is>
          <t>Named for the disproven theory of a luminiferous aether. Where the artists live.</t>
        </is>
      </c>
    </row>
    <row r="14" ht="40" customHeight="1">
      <c r="A14" s="37" t="inlineStr">
        <is>
          <t>GRID — AVENUES</t>
        </is>
      </c>
      <c r="B14" s="133" t="inlineStr">
        <is>
          <t>Spontaneous Generation Path</t>
        </is>
      </c>
      <c r="C14" s="83" t="inlineStr">
        <is>
          <t>Named for the belief that life arises from non-living matter. The garden district.</t>
        </is>
      </c>
    </row>
    <row r="15" ht="40" customHeight="1">
      <c r="A15" s="37" t="inlineStr">
        <is>
          <t>GRID — AVENUES</t>
        </is>
      </c>
      <c r="B15" s="132" t="inlineStr">
        <is>
          <t>Vitalism Bend</t>
        </is>
      </c>
      <c r="C15" s="74" t="inlineStr">
        <is>
          <t>Named for the belief that living organisms contain a non-physical life force. The medical district (one retired nurse).</t>
        </is>
      </c>
    </row>
    <row r="16" ht="40" customHeight="1">
      <c r="A16" s="37" t="inlineStr">
        <is>
          <t>GRID — AVENUES</t>
        </is>
      </c>
      <c r="B16" s="133" t="inlineStr">
        <is>
          <t>Numerology Pass</t>
        </is>
      </c>
      <c r="C16" s="83" t="inlineStr">
        <is>
          <t>Named for the mystical significance of numbers. Where the Nomads park.</t>
        </is>
      </c>
    </row>
    <row r="17" ht="40" customHeight="1">
      <c r="A17" s="37" t="inlineStr">
        <is>
          <t>GRID — AVENUES</t>
        </is>
      </c>
      <c r="B17" s="132" t="inlineStr">
        <is>
          <t>Mesmerism Row</t>
        </is>
      </c>
      <c r="C17" s="74" t="inlineStr">
        <is>
          <t>Named for Franz Mesmer's theory of animal magnetism. The entertainment district (one bar: the Ski &amp; Inn).</t>
        </is>
      </c>
    </row>
    <row r="18" ht="40" customHeight="1">
      <c r="A18" s="37" t="inlineStr">
        <is>
          <t>GRID — AVENUES</t>
        </is>
      </c>
      <c r="B18" s="133" t="inlineStr">
        <is>
          <t>Pataphysics Court</t>
        </is>
      </c>
      <c r="C18" s="83" t="inlineStr">
        <is>
          <t>Named for Alfred Jarry's 'science of imaginary solutions.' A dead end facing the Inadvertent Ocean. The most honest name on the map.</t>
        </is>
      </c>
    </row>
    <row r="19" ht="40" customHeight="1">
      <c r="A19" s="42" t="inlineStr">
        <is>
          <t>GRID — STREETS</t>
        </is>
      </c>
      <c r="B19" s="132" t="inlineStr">
        <is>
          <t>Pending Approval Street</t>
        </is>
      </c>
      <c r="C19" s="74" t="inlineStr">
        <is>
          <t>The northernmost street. Where things are about to happen.</t>
        </is>
      </c>
    </row>
    <row r="20" ht="40" customHeight="1">
      <c r="A20" s="42" t="inlineStr">
        <is>
          <t>GRID — STREETS</t>
        </is>
      </c>
      <c r="B20" s="133" t="inlineStr">
        <is>
          <t>Further Review Road</t>
        </is>
      </c>
      <c r="C20" s="83" t="inlineStr">
        <is>
          <t>The second street. Where things are still being considered.</t>
        </is>
      </c>
    </row>
    <row r="21" ht="40" customHeight="1">
      <c r="A21" s="42" t="inlineStr">
        <is>
          <t>GRID — STREETS</t>
        </is>
      </c>
      <c r="B21" s="132" t="inlineStr">
        <is>
          <t>Tabled for Discussion Boulevard</t>
        </is>
      </c>
      <c r="C21" s="74" t="inlineStr">
        <is>
          <t>The third street. Where things have been deferred.</t>
        </is>
      </c>
    </row>
    <row r="22" ht="40" customHeight="1">
      <c r="A22" s="42" t="inlineStr">
        <is>
          <t>GRID — STREETS</t>
        </is>
      </c>
      <c r="B22" s="133" t="inlineStr">
        <is>
          <t>Archived Without Comment Avenue</t>
        </is>
      </c>
      <c r="C22" s="83" t="inlineStr">
        <is>
          <t>The southernmost street. Partially submerged. Where things have disappeared into the system.</t>
        </is>
      </c>
    </row>
    <row r="23" ht="40" customHeight="1">
      <c r="A23" s="36" t="inlineStr">
        <is>
          <t>ESTABLISHMENT</t>
        </is>
      </c>
      <c r="B23" s="132" t="inlineStr">
        <is>
          <t>The Ski &amp; Inn</t>
        </is>
      </c>
      <c r="C23" s="74" t="inlineStr">
        <is>
          <t>A ski lodge where it never snows and an inn with no available rooms. The Trickster's domain. The game's central hub.</t>
        </is>
      </c>
    </row>
    <row r="24" ht="40" customHeight="1">
      <c r="A24" s="36" t="inlineStr">
        <is>
          <t>ESTABLISHMENT</t>
        </is>
      </c>
      <c r="B24" s="133" t="inlineStr">
        <is>
          <t>The Institute for Tautological Studies</t>
        </is>
      </c>
      <c r="C24" s="83" t="inlineStr">
        <is>
          <t>Motto: 'It Is What It Is.' Published works: 'Water: A Comprehensive Analysis of Its Inherent Wetness,' 'The Color Blue: Why It Is, In Fact, Blue.'</t>
        </is>
      </c>
    </row>
    <row r="25" ht="40" customHeight="1">
      <c r="A25" s="36" t="inlineStr">
        <is>
          <t>ESTABLISHMENT</t>
        </is>
      </c>
      <c r="B25" s="132" t="inlineStr">
        <is>
          <t>The Port Meridian Yacht Club</t>
        </is>
      </c>
      <c r="C25" s="74" t="inlineStr">
        <is>
          <t>A billiards table, open to the sky, on the shore of a sea with no navigable water. Membership rules posted. No members confirmed.</t>
        </is>
      </c>
    </row>
    <row r="26" ht="40" customHeight="1">
      <c r="A26" s="36" t="inlineStr">
        <is>
          <t>ESTABLISHMENT</t>
        </is>
      </c>
      <c r="B26" s="133" t="inlineStr">
        <is>
          <t>The Office of Bureaucratic Tautology Office</t>
        </is>
      </c>
      <c r="C26" s="83" t="inlineStr">
        <is>
          <t>Always closed. Sign: 'Closed due to being closed.' Has been open exactly once, during Glitch #12.</t>
        </is>
      </c>
    </row>
    <row r="27" ht="40" customHeight="1">
      <c r="A27" s="36" t="inlineStr">
        <is>
          <t>ESTABLISHMENT</t>
        </is>
      </c>
      <c r="B27" s="132" t="inlineStr">
        <is>
          <t>The Port Meridian Transit Hub</t>
        </is>
      </c>
      <c r="C27" s="74" t="inlineStr">
        <is>
          <t>A fully realized metro station with no trains and no tracks. All trains reported on time.</t>
        </is>
      </c>
    </row>
    <row r="28" ht="40" customHeight="1">
      <c r="A28" s="36" t="inlineStr">
        <is>
          <t>ESTABLISHMENT</t>
        </is>
      </c>
      <c r="B28" s="133" t="inlineStr">
        <is>
          <t>The Hermitage of Provisional Conclusions</t>
        </is>
      </c>
      <c r="C28" s="83" t="inlineStr">
        <is>
          <t>Every surface covered in contradictory sticky notes. The contradictions are the exhibit.</t>
        </is>
      </c>
    </row>
    <row r="29" ht="40" customHeight="1">
      <c r="A29" s="36" t="inlineStr">
        <is>
          <t>ESTABLISHMENT</t>
        </is>
      </c>
      <c r="B29" s="132" t="inlineStr">
        <is>
          <t>The Museum of Unwanted Architecture</t>
        </is>
      </c>
      <c r="C29" s="74" t="inlineStr">
        <is>
          <t>Exhibits: a door opening onto a wall, a staircase to a ceiling, a window looking into another window.</t>
        </is>
      </c>
    </row>
    <row r="30" ht="40" customHeight="1">
      <c r="A30" s="36" t="inlineStr">
        <is>
          <t>ESTABLISHMENT</t>
        </is>
      </c>
      <c r="B30" s="133" t="inlineStr">
        <is>
          <t>The Perceptual Shift Drive-In</t>
        </is>
      </c>
      <c r="C30" s="83" t="inlineStr">
        <is>
          <t>Shows a different film to each Leaper simultaneously. The concession stand sells only discontinued items.</t>
        </is>
      </c>
    </row>
    <row r="31" ht="40" customHeight="1">
      <c r="A31" s="36" t="inlineStr">
        <is>
          <t>ESTABLISHMENT</t>
        </is>
      </c>
      <c r="B31" s="132" t="inlineStr">
        <is>
          <t>The Optimistic Forecast Station</t>
        </is>
      </c>
      <c r="C31" s="74" t="inlineStr">
        <is>
          <t>Has read 'Conditions: Stable. Outlook: Improving. Confidence Level: High' since installation. Changed once, during Glitch #7.</t>
        </is>
      </c>
    </row>
    <row r="32" ht="40" customHeight="1">
      <c r="A32" s="44" t="inlineStr">
        <is>
          <t>MECHANIC</t>
        </is>
      </c>
      <c r="B32" s="133" t="inlineStr">
        <is>
          <t>Reality Strain</t>
        </is>
      </c>
      <c r="C32" s="83" t="inlineStr">
        <is>
          <t>A counter (see THE MAP, cell E2). Equals the number of OPEN glitches. As it rises, the world becomes less stable.</t>
        </is>
      </c>
    </row>
    <row r="33" ht="40" customHeight="1">
      <c r="A33" s="44" t="inlineStr">
        <is>
          <t>MECHANIC</t>
        </is>
      </c>
      <c r="B33" s="132" t="inlineStr">
        <is>
          <t>Focus Mode</t>
        </is>
      </c>
      <c r="C33" s="74" t="inlineStr">
        <is>
          <t>A Leaper's active perceptual lens. Changed in THE LEAPERS tab. Unlocks hidden information on THE MAP.</t>
        </is>
      </c>
    </row>
    <row r="34" ht="40" customHeight="1">
      <c r="A34" s="44" t="inlineStr">
        <is>
          <t>MECHANIC</t>
        </is>
      </c>
      <c r="B34" s="133" t="inlineStr">
        <is>
          <t>The Chirp</t>
        </is>
      </c>
      <c r="C34" s="83" t="inlineStr">
        <is>
          <t>The Grasshopper's primary signal. Proximity to a glitch is measured in chirp intensity. Silence means something is about to resolve.</t>
        </is>
      </c>
    </row>
    <row r="35" ht="40" customHeight="1">
      <c r="A35" s="44" t="inlineStr">
        <is>
          <t>MECHANIC</t>
        </is>
      </c>
      <c r="B35" s="132" t="inlineStr">
        <is>
          <t>The Mandela Effect Engine</t>
        </is>
      </c>
      <c r="C35" s="74" t="inlineStr">
        <is>
          <t>See THE MANDELA tab. Change a value there, and the world changes here. This is not a bug.</t>
        </is>
      </c>
    </row>
    <row r="36" ht="40" customHeight="1">
      <c r="A36" s="44" t="inlineStr">
        <is>
          <t>MECHANIC</t>
        </is>
      </c>
      <c r="B36" s="133" t="inlineStr">
        <is>
          <t>Case File System</t>
        </is>
      </c>
      <c r="C36" s="83" t="inlineStr">
        <is>
          <t>Each of the 15 Parables is a case file in THE GLITCHES tab. Status: OPEN / INVESTIGATING / CLOSED.</t>
        </is>
      </c>
    </row>
    <row r="37" ht="40" customHeight="1">
      <c r="A37" s="44" t="inlineStr">
        <is>
          <t>MECHANIC</t>
        </is>
      </c>
      <c r="B37" s="132" t="inlineStr">
        <is>
          <t>The Corkboard</t>
        </is>
      </c>
      <c r="C37" s="74" t="inlineStr">
        <is>
          <t>The Anderssons' investigation hub. Located at The Corkboard Hub node on THE MAP. The physical center of the game.</t>
        </is>
      </c>
    </row>
    <row r="38" ht="40" customHeight="1">
      <c r="A38" s="38" t="inlineStr">
        <is>
          <t>PHILOSOPHY</t>
        </is>
      </c>
      <c r="B38" s="133" t="inlineStr">
        <is>
          <t>The Grasshopper's Challenge</t>
        </is>
      </c>
      <c r="C38" s="83" t="inlineStr">
        <is>
          <t>Face the Fear of Boredom — not mundane boredom, but the existential fear of a life without purpose. Port Meridian, which has been waiting for its future since 1929, is the perfect landscape.</t>
        </is>
      </c>
    </row>
    <row r="39" ht="40" customHeight="1">
      <c r="A39" s="38" t="inlineStr">
        <is>
          <t>PHILOSOPHY</t>
        </is>
      </c>
      <c r="B39" s="132" t="inlineStr">
        <is>
          <t>The Great Leap</t>
        </is>
      </c>
      <c r="C39" s="74" t="inlineStr">
        <is>
          <t>The Grasshopper's invitation. To leap is to act from love, not fear. To move through the silos you tend to avoid. To take tiny doses of the Shadow.</t>
        </is>
      </c>
    </row>
    <row r="40" ht="40" customHeight="1">
      <c r="A40" s="38" t="inlineStr">
        <is>
          <t>PHILOSOPHY</t>
        </is>
      </c>
      <c r="B40" s="133" t="inlineStr">
        <is>
          <t>The Vibe-Coded Design Principle</t>
        </is>
      </c>
      <c r="C40" s="83" t="inlineStr">
        <is>
          <t>The environment is the UI. The vibe is the mechanic. Sensory coherence always wins over instructional clarity.</t>
        </is>
      </c>
    </row>
    <row r="41" ht="40" customHeight="1">
      <c r="A41" s="38" t="inlineStr">
        <is>
          <t>PHILOSOPHY</t>
        </is>
      </c>
      <c r="B41" s="132" t="inlineStr">
        <is>
          <t>Conceptual Trust</t>
        </is>
      </c>
      <c r="C41" s="74" t="inlineStr">
        <is>
          <t>A two-way contract: the game follows its own lore's logic even when it leads somewhere unexpected. The player trusts the world. The world trusts the player.</t>
        </is>
      </c>
    </row>
    <row r="42" ht="40" customHeight="1">
      <c r="A42" s="38" t="inlineStr">
        <is>
          <t>PHILOSOPHY</t>
        </is>
      </c>
      <c r="B42" s="133" t="inlineStr">
        <is>
          <t>The Persistent Mandela Effect</t>
        </is>
      </c>
      <c r="C42" s="83" t="inlineStr">
        <is>
          <t>The game misremembers itself between sessions. Street names change. Shirt colors shift. The title screen is different. This is not an error. This is the game practicing what it preaches.</t>
        </is>
      </c>
    </row>
  </sheetData>
  <mergeCells count="1">
    <mergeCell ref="A1:C1"/>
  </mergeCells>
  <pageMargins left="0.75" right="0.75" top="1" bottom="1" header="0.5" footer="0.5"/>
</worksheet>
</file>

<file path=xl/worksheets/sheet8.xml><?xml version="1.0" encoding="utf-8"?>
<worksheet xmlns="http://schemas.openxmlformats.org/spreadsheetml/2006/main">
  <sheetPr>
    <tabColor rgb="00EF4444"/>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30" customWidth="1" min="3" max="3"/>
    <col width="18" customWidth="1" min="4" max="4"/>
  </cols>
  <sheetData>
    <row r="1" ht="22" customHeight="1">
      <c r="A1" s="134" t="inlineStr">
        <is>
          <t>🔀  THE MANDELA EFFECT ENGINE  ·  Change a value. Change the world. This is not a bug.</t>
        </is>
      </c>
      <c r="F1" t="inlineStr">
        <is>
          <t>STRAIN WEIGHT</t>
        </is>
      </c>
    </row>
    <row r="2" ht="35" customHeight="1">
      <c r="A2" s="135" t="inlineStr">
        <is>
          <t>⚠️  WARNING: Values in the CURRENT REALITY column are live. Changing them will alter how the world describes itself. The ORIGINAL REALITY column is read-only memory. The DISCREPANCY column is the game.</t>
        </is>
      </c>
      <c r="F2">
        <f>IF(E2="HIGH",3,IF(E2="MEDIUM",2,IF(E2="LOW",1,0)))</f>
        <v/>
      </c>
    </row>
    <row r="3" ht="22" customHeight="1">
      <c r="A3" s="147" t="inlineStr">
        <is>
          <t>ELEMENT</t>
        </is>
      </c>
      <c r="B3" s="148" t="inlineStr">
        <is>
          <t>ORIGINAL REALITY</t>
        </is>
      </c>
      <c r="C3" s="149" t="inlineStr">
        <is>
          <t>CURRENT REALITY</t>
        </is>
      </c>
      <c r="D3" s="150" t="inlineStr">
        <is>
          <t>DISCREPANCY LEVEL</t>
        </is>
      </c>
      <c r="F3">
        <f>IF(E3="HIGH",3,IF(E3="MEDIUM",2,IF(E3="LOW",1,0)))</f>
        <v/>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f>IF(B4=C4,"NONE",IF(AND(ISNUMBER(IFERROR(VALUE(B4),NA())),ISNUMBER(IFERROR(VALUE(C4),NA()))),IF(ABS(VALUE(C4)-VALUE(B4))/MAX(ABS(VALUE(B4)),1)&gt;=0.2,"HIGH","MEDIUM"),"LOW"))</f>
        <v/>
      </c>
      <c r="F4">
        <f>IF(E4="HIGH",3,IF(E4="MEDIUM",2,IF(E4="LOW",1,0)))</f>
        <v/>
      </c>
    </row>
    <row r="5" ht="22" customHeight="1">
      <c r="A5" s="133" t="inlineStr">
        <is>
          <t>The Ski &amp; Inn sign color</t>
        </is>
      </c>
      <c r="B5" s="138" t="inlineStr">
        <is>
          <t>Red</t>
        </is>
      </c>
      <c r="C5" s="84" t="inlineStr">
        <is>
          <t>Red</t>
        </is>
      </c>
      <c r="D5" s="139">
        <f>IF(B5=C5,"NONE",IF(AND(ISNUMBER(IFERROR(VALUE(B5),NA())),ISNUMBER(IFERROR(VALUE(C5),NA()))),IF(ABS(VALUE(C5)-VALUE(B5))/MAX(ABS(VALUE(B5)),1)&gt;=0.2,"HIGH","MEDIUM"),"LOW"))</f>
        <v/>
      </c>
      <c r="F5">
        <f>IF(E5="HIGH",3,IF(E5="MEDIUM",2,IF(E5="LOW",1,0)))</f>
        <v/>
      </c>
    </row>
    <row r="6" ht="22" customHeight="1">
      <c r="A6" s="132" t="inlineStr">
        <is>
          <t>Grandpa Lou's jacket color</t>
        </is>
      </c>
      <c r="B6" s="138" t="inlineStr">
        <is>
          <t>Brown</t>
        </is>
      </c>
      <c r="C6" s="75" t="inlineStr">
        <is>
          <t>Brown</t>
        </is>
      </c>
      <c r="D6" s="139">
        <f>IF(B6=C6,"NONE",IF(AND(ISNUMBER(IFERROR(VALUE(B6),NA())),ISNUMBER(IFERROR(VALUE(C6),NA()))),IF(ABS(VALUE(C6)-VALUE(B6))/MAX(ABS(VALUE(B6)),1)&gt;=0.2,"HIGH","MEDIUM"),"LOW"))</f>
        <v/>
      </c>
      <c r="F6">
        <f>IF(E6="HIGH",3,IF(E6="MEDIUM",2,IF(E6="LOW",1,0)))</f>
        <v/>
      </c>
    </row>
    <row r="7" ht="22" customHeight="1">
      <c r="A7" s="133" t="inlineStr">
        <is>
          <t>The Trickster's name</t>
        </is>
      </c>
      <c r="B7" s="138" t="inlineStr">
        <is>
          <t>[REDACTED]</t>
        </is>
      </c>
      <c r="C7" s="84" t="inlineStr">
        <is>
          <t>[REDACTED]</t>
        </is>
      </c>
      <c r="D7" s="139">
        <f>IF(B7=C7,"NONE",IF(AND(ISNUMBER(IFERROR(VALUE(B7),NA())),ISNUMBER(IFERROR(VALUE(C7),NA()))),IF(ABS(VALUE(C7)-VALUE(B7))/MAX(ABS(VALUE(B7)),1)&gt;=0.2,"HIGH","MEDIUM"),"LOW"))</f>
        <v/>
      </c>
      <c r="F7">
        <f>IF(E7="HIGH",3,IF(E7="MEDIUM",2,IF(E7="LOW",1,0)))</f>
        <v/>
      </c>
    </row>
    <row r="8" ht="22" customHeight="1">
      <c r="A8" s="132" t="inlineStr">
        <is>
          <t>Population of Port Meridian (official)</t>
        </is>
      </c>
      <c r="B8" s="138" t="inlineStr">
        <is>
          <t>295</t>
        </is>
      </c>
      <c r="C8" s="75" t="inlineStr">
        <is>
          <t>295</t>
        </is>
      </c>
      <c r="D8" s="139">
        <f>IF(B8=C8,"NONE",IF(AND(ISNUMBER(IFERROR(VALUE(B8),NA())),ISNUMBER(IFERROR(VALUE(C8),NA()))),IF(ABS(VALUE(C8)-VALUE(B8))/MAX(ABS(VALUE(B8)),1)&gt;=0.2,"HIGH","MEDIUM"),"LOW"))</f>
        <v/>
      </c>
      <c r="F8">
        <f>IF(E8="HIGH",3,IF(E8="MEDIUM",2,IF(E8="LOW",1,0)))</f>
        <v/>
      </c>
    </row>
    <row r="9" ht="22" customHeight="1">
      <c r="A9" s="133" t="inlineStr">
        <is>
          <t>Population of Port Meridian (felt)</t>
        </is>
      </c>
      <c r="B9" s="138" t="inlineStr">
        <is>
          <t>Disputed</t>
        </is>
      </c>
      <c r="C9" s="84" t="inlineStr">
        <is>
          <t>Disputed</t>
        </is>
      </c>
      <c r="D9" s="139">
        <f>IF(B9=C9,"NONE",IF(AND(ISNUMBER(IFERROR(VALUE(B9),NA())),ISNUMBER(IFERROR(VALUE(C9),NA()))),IF(ABS(VALUE(C9)-VALUE(B9))/MAX(ABS(VALUE(B9)),1)&gt;=0.2,"HIGH","MEDIUM"),"LOW"))</f>
        <v/>
      </c>
      <c r="F9">
        <f>IF(E9="HIGH",3,IF(E9="MEDIUM",2,IF(E9="LOW",1,0)))</f>
        <v/>
      </c>
    </row>
    <row r="10" ht="22" customHeight="1">
      <c r="A10" s="132" t="inlineStr">
        <is>
          <t>The street formerly known as Phrenology Drive</t>
        </is>
      </c>
      <c r="B10" s="138" t="inlineStr">
        <is>
          <t>Phrenology Drive</t>
        </is>
      </c>
      <c r="C10" s="75" t="inlineStr">
        <is>
          <t>Phrenology Drive</t>
        </is>
      </c>
      <c r="D10" s="139">
        <f>IF(B10=C10,"NONE",IF(AND(ISNUMBER(IFERROR(VALUE(B10),NA())),ISNUMBER(IFERROR(VALUE(C10),NA()))),IF(ABS(VALUE(C10)-VALUE(B10))/MAX(ABS(VALUE(B10)),1)&gt;=0.2,"HIGH","MEDIUM"),"LOW"))</f>
        <v/>
      </c>
      <c r="F10">
        <f>IF(E10="HIGH",3,IF(E10="MEDIUM",2,IF(E10="LOW",1,0)))</f>
        <v/>
      </c>
    </row>
    <row r="11" ht="22" customHeight="1">
      <c r="A11" s="133" t="inlineStr">
        <is>
          <t>The street formerly known as Alchemy Way</t>
        </is>
      </c>
      <c r="B11" s="138" t="inlineStr">
        <is>
          <t>Alchemy Way</t>
        </is>
      </c>
      <c r="C11" s="84" t="inlineStr">
        <is>
          <t>Alchemy Way</t>
        </is>
      </c>
      <c r="D11" s="139">
        <f>IF(B11=C11,"NONE",IF(AND(ISNUMBER(IFERROR(VALUE(B11),NA())),ISNUMBER(IFERROR(VALUE(C11),NA()))),IF(ABS(VALUE(C11)-VALUE(B11))/MAX(ABS(VALUE(B11)),1)&gt;=0.2,"HIGH","MEDIUM"),"LOW"))</f>
        <v/>
      </c>
      <c r="F11">
        <f>IF(E11="HIGH",3,IF(E11="MEDIUM",2,IF(E11="LOW",1,0)))</f>
        <v/>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f>IF(B12=C12,"NONE",IF(AND(ISNUMBER(IFERROR(VALUE(B12),NA())),ISNUMBER(IFERROR(VALUE(C12),NA()))),IF(ABS(VALUE(C12)-VALUE(B12))/MAX(ABS(VALUE(B12)),1)&gt;=0.2,"HIGH","MEDIUM"),"LOW"))</f>
        <v/>
      </c>
      <c r="F12">
        <f>IF(E12="HIGH",3,IF(E12="MEDIUM",2,IF(E12="LOW",1,0)))</f>
        <v/>
      </c>
    </row>
    <row r="13" ht="22" customHeight="1">
      <c r="A13" s="133" t="inlineStr">
        <is>
          <t>The Institute's motto</t>
        </is>
      </c>
      <c r="B13" s="138" t="inlineStr">
        <is>
          <t>It Is What It Is.</t>
        </is>
      </c>
      <c r="C13" s="84" t="inlineStr">
        <is>
          <t>It Is What It Is.</t>
        </is>
      </c>
      <c r="D13" s="139">
        <f>IF(B13=C13,"NONE",IF(AND(ISNUMBER(IFERROR(VALUE(B13),NA())),ISNUMBER(IFERROR(VALUE(C13),NA()))),IF(ABS(VALUE(C13)-VALUE(B13))/MAX(ABS(VALUE(B13)),1)&gt;=0.2,"HIGH","MEDIUM"),"LOW"))</f>
        <v/>
      </c>
      <c r="F13">
        <f>IF(E13="HIGH",3,IF(E13="MEDIUM",2,IF(E13="LOW",1,0)))</f>
        <v/>
      </c>
    </row>
    <row r="14" ht="22" customHeight="1">
      <c r="A14" s="132" t="inlineStr">
        <is>
          <t>The color of the Inadvertent Ocean</t>
        </is>
      </c>
      <c r="B14" s="138" t="inlineStr">
        <is>
          <t>The color of old mirrors</t>
        </is>
      </c>
      <c r="C14" s="75" t="inlineStr">
        <is>
          <t>The color of old mirrors</t>
        </is>
      </c>
      <c r="D14" s="139">
        <f>IF(B14=C14,"NONE",IF(AND(ISNUMBER(IFERROR(VALUE(B14),NA())),ISNUMBER(IFERROR(VALUE(C14),NA()))),IF(ABS(VALUE(C14)-VALUE(B14))/MAX(ABS(VALUE(B14)),1)&gt;=0.2,"HIGH","MEDIUM"),"LOW"))</f>
        <v/>
      </c>
      <c r="F14">
        <f>IF(E14="HIGH",3,IF(E14="MEDIUM",2,IF(E14="LOW",1,0)))</f>
        <v/>
      </c>
    </row>
    <row r="15" ht="22" customHeight="1">
      <c r="A15" s="133" t="inlineStr">
        <is>
          <t>The Swing's direction</t>
        </is>
      </c>
      <c r="B15" s="138" t="inlineStr">
        <is>
          <t>Toward the Void</t>
        </is>
      </c>
      <c r="C15" s="84" t="inlineStr">
        <is>
          <t>Toward the Void</t>
        </is>
      </c>
      <c r="D15" s="139">
        <f>IF(B15=C15,"NONE",IF(AND(ISNUMBER(IFERROR(VALUE(B15),NA())),ISNUMBER(IFERROR(VALUE(C15),NA()))),IF(ABS(VALUE(C15)-VALUE(B15))/MAX(ABS(VALUE(B15)),1)&gt;=0.2,"HIGH","MEDIUM"),"LOW"))</f>
        <v/>
      </c>
      <c r="F15">
        <f>IF(E15="HIGH",3,IF(E15="MEDIUM",2,IF(E15="LOW",1,0)))</f>
        <v/>
      </c>
    </row>
    <row r="16" ht="22" customHeight="1">
      <c r="A16" s="132" t="inlineStr">
        <is>
          <t>Ella's most recent painting subject</t>
        </is>
      </c>
      <c r="B16" s="138" t="inlineStr">
        <is>
          <t>The Grasshopper</t>
        </is>
      </c>
      <c r="C16" s="75" t="inlineStr">
        <is>
          <t>The Grasshopper</t>
        </is>
      </c>
      <c r="D16" s="139">
        <f>IF(B16=C16,"NONE",IF(AND(ISNUMBER(IFERROR(VALUE(B16),NA())),ISNUMBER(IFERROR(VALUE(C16),NA()))),IF(ABS(VALUE(C16)-VALUE(B16))/MAX(ABS(VALUE(B16)),1)&gt;=0.2,"HIGH","MEDIUM"),"LOW"))</f>
        <v/>
      </c>
      <c r="F16">
        <f>IF(E16="HIGH",3,IF(E16="MEDIUM",2,IF(E16="LOW",1,0)))</f>
        <v/>
      </c>
    </row>
    <row r="17" ht="22" customHeight="1">
      <c r="A17" s="133" t="inlineStr">
        <is>
          <t>Milo's error log entry count</t>
        </is>
      </c>
      <c r="B17" s="138" t="inlineStr">
        <is>
          <t>847</t>
        </is>
      </c>
      <c r="C17" s="84" t="inlineStr">
        <is>
          <t>847</t>
        </is>
      </c>
      <c r="D17" s="139">
        <f>IF(B17=C17,"NONE",IF(AND(ISNUMBER(IFERROR(VALUE(B17),NA())),ISNUMBER(IFERROR(VALUE(C17),NA()))),IF(ABS(VALUE(C17)-VALUE(B17))/MAX(ABS(VALUE(B17)),1)&gt;=0.2,"HIGH","MEDIUM"),"LOW"))</f>
        <v/>
      </c>
      <c r="F17">
        <f>IF(E17="HIGH",3,IF(E17="MEDIUM",2,IF(E17="LOW",1,0)))</f>
        <v/>
      </c>
    </row>
    <row r="18" ht="22" customHeight="1">
      <c r="A18" s="132" t="inlineStr">
        <is>
          <t>The last thing Naomi heard before she could name it</t>
        </is>
      </c>
      <c r="B18" s="138" t="inlineStr">
        <is>
          <t>A harmonic overtone, like a singing bowl.</t>
        </is>
      </c>
      <c r="C18" s="75" t="inlineStr">
        <is>
          <t>A harmonic overtone, like a singing bowl.</t>
        </is>
      </c>
      <c r="D18" s="139">
        <f>IF(B18=C18,"NONE",IF(AND(ISNUMBER(IFERROR(VALUE(B18),NA())),ISNUMBER(IFERROR(VALUE(C18),NA()))),IF(ABS(VALUE(C18)-VALUE(B18))/MAX(ABS(VALUE(B18)),1)&gt;=0.2,"HIGH","MEDIUM"),"LOW"))</f>
        <v/>
      </c>
      <c r="F18">
        <f>IF(E18="HIGH",3,IF(E18="MEDIUM",2,IF(E18="LOW",1,0)))</f>
        <v/>
      </c>
    </row>
    <row r="19" ht="22" customHeight="1">
      <c r="A19" s="133" t="inlineStr">
        <is>
          <t>Jonah's last known location before placement</t>
        </is>
      </c>
      <c r="B19" s="138" t="inlineStr">
        <is>
          <t>Home</t>
        </is>
      </c>
      <c r="C19" s="84" t="inlineStr">
        <is>
          <t>Home</t>
        </is>
      </c>
      <c r="D19" s="139">
        <f>IF(B19=C19,"NONE",IF(AND(ISNUMBER(IFERROR(VALUE(B19),NA())),ISNUMBER(IFERROR(VALUE(C19),NA()))),IF(ABS(VALUE(C19)-VALUE(B19))/MAX(ABS(VALUE(B19)),1)&gt;=0.2,"HIGH","MEDIUM"),"LOW"))</f>
        <v/>
      </c>
      <c r="F19">
        <f>IF(E19="HIGH",3,IF(E19="MEDIUM",2,IF(E19="LOW",1,0)))</f>
        <v/>
      </c>
    </row>
    <row r="20" ht="22" customHeight="1">
      <c r="A20" s="132" t="inlineStr">
        <is>
          <t>The Corkboard Hub — number of active case files</t>
        </is>
      </c>
      <c r="B20" s="138">
        <f>COUNTIF('⚡ THE GLITCHES'!G:G,"OPEN")</f>
        <v/>
      </c>
      <c r="C20" s="75">
        <f>COUNTIF('⚡ THE GLITCHES'!G:G,"OPEN")</f>
        <v/>
      </c>
      <c r="D20" s="44">
        <f>IF(B20=C20,"NONE",IF(AND(ISNUMBER(IFERROR(VALUE(B20),NA())),ISNUMBER(IFERROR(VALUE(C20),NA()))),IF(ABS(VALUE(C20)-VALUE(B20))/MAX(ABS(VALUE(B20)),1)&gt;=0.2,"HIGH","MEDIUM"),"LOW"))</f>
        <v/>
      </c>
      <c r="F20">
        <f>IF(E20="HIGH",3,IF(E20="MEDIUM",2,IF(E20="LOW",1,0)))</f>
        <v/>
      </c>
    </row>
    <row r="21" ht="22" customHeight="1">
      <c r="A21" s="133" t="inlineStr">
        <is>
          <t>The Grasshopper's last audible chirp</t>
        </is>
      </c>
      <c r="B21" s="138" t="inlineStr">
        <is>
          <t>Before Glitch #14</t>
        </is>
      </c>
      <c r="C21" s="84" t="inlineStr">
        <is>
          <t>Before Glitch #14</t>
        </is>
      </c>
      <c r="D21" s="139">
        <f>IF(B21=C21,"NONE",IF(AND(ISNUMBER(IFERROR(VALUE(B21),NA())),ISNUMBER(IFERROR(VALUE(C21),NA()))),IF(ABS(VALUE(C21)-VALUE(B21))/MAX(ABS(VALUE(B21)),1)&gt;=0.2,"HIGH","MEDIUM"),"LOW"))</f>
        <v/>
      </c>
      <c r="F21">
        <f>IF(E21="HIGH",3,IF(E21="MEDIUM",2,IF(E21="LOW",1,0)))</f>
        <v/>
      </c>
    </row>
    <row r="22" ht="22" customHeight="1">
      <c r="A22" s="132" t="inlineStr">
        <is>
          <t>The Transit Hub — last announced arrival</t>
        </is>
      </c>
      <c r="B22" s="138" t="inlineStr">
        <is>
          <t>The 4:17 to Everywhere (On Time)</t>
        </is>
      </c>
      <c r="C22" s="75" t="inlineStr">
        <is>
          <t>The 4:17 to Everywhere (On Time)</t>
        </is>
      </c>
      <c r="D22" s="139">
        <f>IF(B22=C22,"NONE",IF(AND(ISNUMBER(IFERROR(VALUE(B22),NA())),ISNUMBER(IFERROR(VALUE(C22),NA()))),IF(ABS(VALUE(C22)-VALUE(B22))/MAX(ABS(VALUE(B22)),1)&gt;=0.2,"HIGH","MEDIUM"),"LOW"))</f>
        <v/>
      </c>
      <c r="F22">
        <f>IF(E22="HIGH",3,IF(E22="MEDIUM",2,IF(E22="LOW",1,0)))</f>
        <v/>
      </c>
    </row>
    <row r="23" ht="22" customHeight="1">
      <c r="A23" s="133" t="inlineStr">
        <is>
          <t>The Office of Bureaucratic Tautology Office — current state</t>
        </is>
      </c>
      <c r="B23" s="138" t="inlineStr">
        <is>
          <t>Closed</t>
        </is>
      </c>
      <c r="C23" s="84" t="inlineStr">
        <is>
          <t>Closed</t>
        </is>
      </c>
      <c r="D23" s="139">
        <f>IF(B23=C23,"NONE",IF(AND(ISNUMBER(IFERROR(VALUE(B23),NA())),ISNUMBER(IFERROR(VALUE(C23),NA()))),IF(ABS(VALUE(C23)-VALUE(B23))/MAX(ABS(VALUE(B23)),1)&gt;=0.2,"HIGH","MEDIUM"),"LOW"))</f>
        <v/>
      </c>
      <c r="F23">
        <f>IF(E23="HIGH",3,IF(E23="MEDIUM",2,IF(E23="LOW",1,0)))</f>
        <v/>
      </c>
    </row>
    <row r="24" ht="22" customHeight="1">
      <c r="F24">
        <f>IF(E24="HIGH",3,IF(E24="MEDIUM",2,IF(E24="LOW",1,0)))</f>
        <v/>
      </c>
    </row>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c r="F25">
        <f>IF(E25="HIGH",3,IF(E25="MEDIUM",2,IF(E25="LOW",1,0)))</f>
        <v/>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conditionalFormatting sqref="A4:D23">
    <cfRule type="expression" priority="1" dxfId="4">
      <formula>$D4="LOW"</formula>
    </cfRule>
    <cfRule type="expression" priority="2" dxfId="5">
      <formula>$D4="MEDIUM"</formula>
    </cfRule>
    <cfRule type="expression" priority="3" dxfId="6">
      <formula>$D4="HIGH"</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51" t="inlineStr">
        <is>
          <t>WORLD STATE CONTROL SYSTEM</t>
        </is>
      </c>
    </row>
    <row r="3">
      <c r="A3" t="inlineStr">
        <is>
          <t>Strain Escalation Threshold</t>
        </is>
      </c>
      <c r="B3" t="n">
        <v>2</v>
      </c>
    </row>
    <row r="4">
      <c r="A4" t="inlineStr">
        <is>
          <t>Fracture Threshold</t>
        </is>
      </c>
      <c r="B4" t="n">
        <v>9</v>
      </c>
    </row>
    <row r="6">
      <c r="A6" t="inlineStr">
        <is>
          <t>Decay Toggle (ON=1 / OFF=0)</t>
        </is>
      </c>
      <c r="B6" t="n">
        <v>0</v>
      </c>
    </row>
    <row r="8">
      <c r="A8" t="inlineStr">
        <is>
          <t>Live World State:</t>
        </is>
      </c>
      <c r="B8">
        <f>🧠 EVOLUTION!B4</f>
        <v/>
      </c>
    </row>
    <row r="10">
      <c r="A10" t="inlineStr">
        <is>
          <t>Decay Rate per Cycle</t>
        </is>
      </c>
      <c r="B10"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Auto-Generated Narrative Events</t>
        </is>
      </c>
    </row>
    <row r="3">
      <c r="A3" t="inlineStr">
        <is>
          <t>Event Trigger</t>
        </is>
      </c>
      <c r="B3">
        <f>IF(🧠 EVOLUTION!B4="FRACTURING","Reality Fork Event Triggered","Dormant")</f>
        <v/>
      </c>
    </row>
    <row r="5">
      <c r="A5" t="inlineStr">
        <is>
          <t>Suggested Event</t>
        </is>
      </c>
      <c r="B5">
        <f>IF(B3="Reality Fork Event Triggered","A new paradox appears at the highest strain node.","No anomaly detected.")</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51" t="inlineStr">
        <is>
          <t>Probabilistic Mandela Drift</t>
        </is>
      </c>
    </row>
    <row r="3">
      <c r="A3" t="inlineStr">
        <is>
          <t>Current World State</t>
        </is>
      </c>
      <c r="B3">
        <f>🧠 EVOLUTION!B4</f>
        <v/>
      </c>
    </row>
    <row r="4">
      <c r="A4" t="inlineStr">
        <is>
          <t>Random Drift Seed</t>
        </is>
      </c>
      <c r="B4">
        <f>RAND()</f>
        <v/>
      </c>
    </row>
    <row r="5">
      <c r="A5" t="inlineStr">
        <is>
          <t>Drift Trigger</t>
        </is>
      </c>
      <c r="B5">
        <f>IF(AND(B3="FRACTURING",B4&gt;0.6),"DRIFT ACTIVATED","STABLE FIELD")</f>
        <v/>
      </c>
    </row>
    <row r="7">
      <c r="A7" t="inlineStr">
        <is>
          <t>Suggested Drift Action</t>
        </is>
      </c>
      <c r="B7">
        <f>IF(B5="DRIFT ACTIVATED","Random Mandela Element experiences spontaneous reinterpretation.","No spontaneous drift detected.")</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51" t="inlineStr">
        <is>
          <t>Leaper Synergy Amplification Grid</t>
        </is>
      </c>
    </row>
    <row r="2">
      <c r="B2" t="inlineStr">
        <is>
          <t>CHARACTER</t>
        </is>
      </c>
      <c r="C2" t="inlineStr">
        <is>
          <t>GRANDPA LOU</t>
        </is>
      </c>
      <c r="D2" t="inlineStr">
        <is>
          <t>JONAH</t>
        </is>
      </c>
      <c r="E2" t="inlineStr">
        <is>
          <t>NAOMI</t>
        </is>
      </c>
      <c r="F2" t="inlineStr">
        <is>
          <t>MILO</t>
        </is>
      </c>
      <c r="G2" t="inlineStr">
        <is>
          <t>ELLA</t>
        </is>
      </c>
      <c r="I2" t="inlineStr">
        <is>
          <t>⚙️  FOCUS MODE is the active perceptual lens. Change a Leaper's FOCUS MODE to unlock hidden notes on THE MAP. Options: CURRENT · PAST · ANCESTRAL · SEAM · ECHO · ERROR · LOVE</t>
        </is>
      </c>
    </row>
    <row r="3">
      <c r="A3" t="inlineStr">
        <is>
          <t>CHARACTER</t>
        </is>
      </c>
      <c r="B3" t="n">
        <v>1</v>
      </c>
      <c r="C3">
        <f>ROUND(RAND()*2,2)</f>
        <v/>
      </c>
      <c r="D3">
        <f>ROUND(RAND()*2,2)</f>
        <v/>
      </c>
      <c r="E3">
        <f>ROUND(RAND()*2,2)</f>
        <v/>
      </c>
      <c r="F3">
        <f>ROUND(RAND()*2,2)</f>
        <v/>
      </c>
      <c r="G3">
        <f>ROUND(RAND()*2,2)</f>
        <v/>
      </c>
      <c r="H3">
        <f>ROUND(RAND()*2,2)</f>
        <v/>
      </c>
      <c r="I3">
        <f>ROUND(RAND()*2,2)</f>
        <v/>
      </c>
    </row>
    <row r="4">
      <c r="A4" t="inlineStr">
        <is>
          <t>GRANDPA LOU</t>
        </is>
      </c>
      <c r="B4">
        <f>ROUND(RAND()*2,2)</f>
        <v/>
      </c>
      <c r="C4" t="n">
        <v>1</v>
      </c>
      <c r="D4">
        <f>ROUND(RAND()*2,2)</f>
        <v/>
      </c>
      <c r="E4">
        <f>ROUND(RAND()*2,2)</f>
        <v/>
      </c>
      <c r="F4">
        <f>ROUND(RAND()*2,2)</f>
        <v/>
      </c>
      <c r="G4">
        <f>ROUND(RAND()*2,2)</f>
        <v/>
      </c>
      <c r="H4">
        <f>ROUND(RAND()*2,2)</f>
        <v/>
      </c>
      <c r="I4">
        <f>ROUND(RAND()*2,2)</f>
        <v/>
      </c>
    </row>
    <row r="5">
      <c r="A5" t="inlineStr">
        <is>
          <t>JONAH</t>
        </is>
      </c>
      <c r="B5">
        <f>ROUND(RAND()*2,2)</f>
        <v/>
      </c>
      <c r="C5">
        <f>ROUND(RAND()*2,2)</f>
        <v/>
      </c>
      <c r="D5" t="n">
        <v>1</v>
      </c>
      <c r="E5">
        <f>ROUND(RAND()*2,2)</f>
        <v/>
      </c>
      <c r="F5">
        <f>ROUND(RAND()*2,2)</f>
        <v/>
      </c>
      <c r="G5">
        <f>ROUND(RAND()*2,2)</f>
        <v/>
      </c>
      <c r="H5">
        <f>ROUND(RAND()*2,2)</f>
        <v/>
      </c>
      <c r="I5">
        <f>ROUND(RAND()*2,2)</f>
        <v/>
      </c>
    </row>
    <row r="6">
      <c r="A6" t="inlineStr">
        <is>
          <t>NAOMI</t>
        </is>
      </c>
      <c r="B6">
        <f>ROUND(RAND()*2,2)</f>
        <v/>
      </c>
      <c r="C6">
        <f>ROUND(RAND()*2,2)</f>
        <v/>
      </c>
      <c r="D6">
        <f>ROUND(RAND()*2,2)</f>
        <v/>
      </c>
      <c r="E6" t="n">
        <v>1</v>
      </c>
      <c r="F6">
        <f>ROUND(RAND()*2,2)</f>
        <v/>
      </c>
      <c r="G6">
        <f>ROUND(RAND()*2,2)</f>
        <v/>
      </c>
      <c r="H6">
        <f>ROUND(RAND()*2,2)</f>
        <v/>
      </c>
      <c r="I6">
        <f>ROUND(RAND()*2,2)</f>
        <v/>
      </c>
    </row>
    <row r="7">
      <c r="A7" t="inlineStr">
        <is>
          <t>MILO</t>
        </is>
      </c>
      <c r="B7">
        <f>ROUND(RAND()*2,2)</f>
        <v/>
      </c>
      <c r="C7">
        <f>ROUND(RAND()*2,2)</f>
        <v/>
      </c>
      <c r="D7">
        <f>ROUND(RAND()*2,2)</f>
        <v/>
      </c>
      <c r="E7">
        <f>ROUND(RAND()*2,2)</f>
        <v/>
      </c>
      <c r="F7" t="n">
        <v>1</v>
      </c>
      <c r="G7">
        <f>ROUND(RAND()*2,2)</f>
        <v/>
      </c>
      <c r="H7">
        <f>ROUND(RAND()*2,2)</f>
        <v/>
      </c>
      <c r="I7">
        <f>ROUND(RAND()*2,2)</f>
        <v/>
      </c>
    </row>
    <row r="8">
      <c r="A8" t="inlineStr">
        <is>
          <t>ELLA</t>
        </is>
      </c>
      <c r="B8">
        <f>ROUND(RAND()*2,2)</f>
        <v/>
      </c>
      <c r="C8">
        <f>ROUND(RAND()*2,2)</f>
        <v/>
      </c>
      <c r="D8">
        <f>ROUND(RAND()*2,2)</f>
        <v/>
      </c>
      <c r="E8">
        <f>ROUND(RAND()*2,2)</f>
        <v/>
      </c>
      <c r="F8">
        <f>ROUND(RAND()*2,2)</f>
        <v/>
      </c>
      <c r="G8" t="n">
        <v>1</v>
      </c>
      <c r="H8">
        <f>ROUND(RAND()*2,2)</f>
        <v/>
      </c>
      <c r="I8">
        <f>ROUND(RAND()*2,2)</f>
        <v/>
      </c>
    </row>
    <row r="9">
      <c r="B9">
        <f>ROUND(RAND()*2,2)</f>
        <v/>
      </c>
      <c r="C9">
        <f>ROUND(RAND()*2,2)</f>
        <v/>
      </c>
      <c r="D9">
        <f>ROUND(RAND()*2,2)</f>
        <v/>
      </c>
      <c r="E9">
        <f>ROUND(RAND()*2,2)</f>
        <v/>
      </c>
      <c r="F9">
        <f>ROUND(RAND()*2,2)</f>
        <v/>
      </c>
      <c r="G9">
        <f>ROUND(RAND()*2,2)</f>
        <v/>
      </c>
      <c r="H9" t="n">
        <v>1</v>
      </c>
      <c r="I9">
        <f>ROUND(RAND()*2,2)</f>
        <v/>
      </c>
    </row>
    <row r="10">
      <c r="A10" t="inlineStr">
        <is>
          <t>⚙️  FOCUS MODE is the active perceptual lens. Change a Leaper's FOCUS MODE to unlock hidden notes on THE MAP. Options: CURRENT · PAST · ANCESTRAL · SEAM · ECHO · ERROR · LOVE</t>
        </is>
      </c>
      <c r="B10">
        <f>ROUND(RAND()*2,2)</f>
        <v/>
      </c>
      <c r="C10">
        <f>ROUND(RAND()*2,2)</f>
        <v/>
      </c>
      <c r="D10">
        <f>ROUND(RAND()*2,2)</f>
        <v/>
      </c>
      <c r="E10">
        <f>ROUND(RAND()*2,2)</f>
        <v/>
      </c>
      <c r="F10">
        <f>ROUND(RAND()*2,2)</f>
        <v/>
      </c>
      <c r="G10">
        <f>ROUND(RAND()*2,2)</f>
        <v/>
      </c>
      <c r="H10">
        <f>ROUND(RAND()*2,2)</f>
        <v/>
      </c>
      <c r="I10"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Timestamp</t>
        </is>
      </c>
      <c r="B1" t="inlineStr">
        <is>
          <t>World State Snapshot</t>
        </is>
      </c>
      <c r="C1" t="inlineStr">
        <is>
          <t>Strain Index Snapshot</t>
        </is>
      </c>
    </row>
    <row r="2">
      <c r="A2" t="inlineStr">
        <is>
          <t>2026-03-03 13:08:41</t>
        </is>
      </c>
      <c r="B2">
        <f>🧠 EVOLUTION!B4</f>
        <v/>
      </c>
      <c r="C2">
        <f>🧠 EVOLUTION!B2</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Grasshopper Human Experience Monitor</t>
        </is>
      </c>
    </row>
    <row r="3">
      <c r="A3" t="inlineStr">
        <is>
          <t>World Stability</t>
        </is>
      </c>
      <c r="B3">
        <f>🧠 EVOLUTION!B4</f>
        <v/>
      </c>
    </row>
    <row r="4">
      <c r="A4" t="inlineStr">
        <is>
          <t>Highest Strain Node</t>
        </is>
      </c>
      <c r="B4">
        <f>🗺️ THE MAP!B21</f>
        <v/>
      </c>
    </row>
    <row r="5">
      <c r="A5" t="inlineStr">
        <is>
          <t>Leaper Most Fatigued</t>
        </is>
      </c>
      <c r="B5">
        <f>INDEX('🧬 THE LEAPERS'!A2:A20, MATCH(MAX('🧬 THE LEAPERS'!I2:I20),'🧬 THE LEAPERS'!I2:I20,0))</f>
        <v/>
      </c>
    </row>
    <row r="6">
      <c r="A6" t="inlineStr">
        <is>
          <t>Drift Status</t>
        </is>
      </c>
      <c r="B6">
        <f>🌀 DRIFT ENGINE!B5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2026-03-03T13:08:41Z</dcterms:modified>
</cp:coreProperties>
</file>