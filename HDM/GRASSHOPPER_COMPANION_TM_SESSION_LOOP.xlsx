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SESSION LOOP™" sheetId="2" state="visible" r:id="rId2"/>
    <sheet xmlns:r="http://schemas.openxmlformats.org/officeDocument/2006/relationships" name="⚡ QUICKSTART" sheetId="3" state="visible" r:id="rId3"/>
    <sheet xmlns:r="http://schemas.openxmlformats.org/officeDocument/2006/relationships" name="🧠 EVOLUTION" sheetId="4" state="visible" r:id="rId4"/>
    <sheet xmlns:r="http://schemas.openxmlformats.org/officeDocument/2006/relationships" name="🗺️ THE MAP" sheetId="5" state="visible" r:id="rId5"/>
    <sheet xmlns:r="http://schemas.openxmlformats.org/officeDocument/2006/relationships" name="🧩 NODE REGISTRY" sheetId="6" state="visible" r:id="rId6"/>
    <sheet xmlns:r="http://schemas.openxmlformats.org/officeDocument/2006/relationships" name="🧬 THE LEAPERS" sheetId="7" state="visible" r:id="rId7"/>
    <sheet xmlns:r="http://schemas.openxmlformats.org/officeDocument/2006/relationships" name="🔀 THE MANDELA" sheetId="8" state="visible" r:id="rId8"/>
    <sheet xmlns:r="http://schemas.openxmlformats.org/officeDocument/2006/relationships" name="🎛️ CONTROL PANEL" sheetId="9" state="visible" r:id="rId9"/>
    <sheet xmlns:r="http://schemas.openxmlformats.org/officeDocument/2006/relationships" name="❤️ EMOTIONAL CLIMATE" sheetId="10" state="visible" r:id="rId10"/>
    <sheet xmlns:r="http://schemas.openxmlformats.org/officeDocument/2006/relationships" name="🎮 OPERATOR MODE" sheetId="11" state="visible" r:id="rId11"/>
    <sheet xmlns:r="http://schemas.openxmlformats.org/officeDocument/2006/relationships" name="📖 ADAPTIVE NARRATIVE" sheetId="12" state="visible" r:id="rId12"/>
    <sheet xmlns:r="http://schemas.openxmlformats.org/officeDocument/2006/relationships" name="🖥️ HUD" sheetId="13" state="visible" r:id="rId13"/>
  </sheets>
  <definedNames/>
  <calcPr calcId="124519" fullCalcOnLoad="1"/>
</workbook>
</file>

<file path=xl/styles.xml><?xml version="1.0" encoding="utf-8"?>
<styleSheet xmlns="http://schemas.openxmlformats.org/spreadsheetml/2006/main">
  <numFmts count="0"/>
  <fonts count="52">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
      <i val="1"/>
    </font>
  </fonts>
  <fills count="23">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
      <patternFill patternType="solid">
        <fgColor rgb="00E6F0FF"/>
        <bgColor rgb="00E6F0FF"/>
      </patternFill>
    </fill>
    <fill>
      <patternFill patternType="solid">
        <fgColor rgb="00F2FFF2"/>
        <bgColor rgb="00F2FFF2"/>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6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xf numFmtId="0" fontId="49" fillId="21" borderId="0" pivotButton="0" quotePrefix="0" xfId="0"/>
    <xf numFmtId="0" fontId="51" fillId="0" borderId="0" pivotButton="0" quotePrefix="0" xfId="0"/>
    <xf numFmtId="0" fontId="50" fillId="21" borderId="0" pivotButton="0" quotePrefix="0" xfId="0"/>
    <xf numFmtId="0" fontId="50" fillId="0" borderId="0" applyAlignment="1" pivotButton="0" quotePrefix="0" xfId="0">
      <alignment horizontal="right"/>
    </xf>
    <xf numFmtId="0" fontId="50" fillId="22" borderId="0" pivotButton="0" quotePrefix="0" xfId="0"/>
    <xf numFmtId="0" fontId="0" fillId="22" borderId="0" pivotButton="0" quotePrefix="0" xfId="0"/>
  </cellXfs>
  <cellStyles count="1">
    <cellStyle name="Normal" xfId="0" builtinId="0" hidden="0"/>
  </cellStyles>
  <dxfs count="14">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
      <fill>
        <patternFill patternType="solid">
          <fgColor rgb="00FF9999"/>
          <b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Flow-Companion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invites clarity without urgency.</t>
        </is>
      </c>
      <c r="C14" s="1" t="n"/>
    </row>
    <row r="15" ht="18" customHeight="1">
      <c r="A15" s="1" t="n"/>
      <c r="B15" s="9" t="inlineStr">
        <is>
          <t>This spreadsheet keeps you company, if you choose.</t>
        </is>
      </c>
      <c r="C15" s="1" t="n"/>
    </row>
    <row r="16" ht="18" customHeight="1">
      <c r="A16" s="1" t="n"/>
      <c r="B16" s="5" t="inlineStr"/>
      <c r="C16" s="1" t="n"/>
    </row>
    <row r="17" ht="18" customHeight="1">
      <c r="A17" s="1" t="n"/>
      <c r="B17" s="10" t="inlineStr">
        <is>
          <t>HOW TO ENTER (GENTLY)</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 — and also a mirror.</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may change</t>
        </is>
      </c>
      <c r="C32" s="1" t="n"/>
    </row>
    <row r="33" ht="18" customHeight="1">
      <c r="A33" s="1" t="n"/>
      <c r="B33" s="16" t="inlineStr">
        <is>
          <t>because you changed, and the world noticed.</t>
        </is>
      </c>
      <c r="C33" s="1" t="n"/>
    </row>
    <row r="34" ht="18" customHeight="1">
      <c r="A34" s="1" t="n"/>
      <c r="B34" s="17" t="inlineStr">
        <is>
          <t>This is a feature of Thought Momentum™.</t>
        </is>
      </c>
      <c r="C34" s="1" t="n"/>
    </row>
    <row r="35" ht="18" customHeight="1">
      <c r="A35" s="1" t="n"/>
      <c r="B35" s="5" t="inlineStr"/>
      <c r="C35" s="1" t="n"/>
    </row>
    <row r="36" ht="18" customHeight="1">
      <c r="A36" s="1" t="n"/>
      <c r="B36" s="14" t="inlineStr">
        <is>
          <t>A NOTE ON NONE</t>
        </is>
      </c>
      <c r="C36" s="1" t="n"/>
    </row>
    <row r="37" ht="18" customHeight="1">
      <c r="A37" s="1" t="n"/>
      <c r="B37" s="18" t="inlineStr">
        <is>
          <t>Empty cells are not missing information.</t>
        </is>
      </c>
      <c r="C37" s="1" t="n"/>
    </row>
    <row r="38" ht="18" customHeight="1">
      <c r="A38" s="1" t="n"/>
      <c r="B38" s="19" t="inlineStr">
        <is>
          <t>They are the places your life is allowed to enter.</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 Held by Thought Momentum™.</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inlineStr">
        <is>
          <t>THOUGHT MOMENTUM™ (WHAT ™ MEANS HERE)</t>
        </is>
      </c>
      <c r="C44" s="1" t="n"/>
    </row>
    <row r="45" ht="18" customHeight="1">
      <c r="A45" s="1" t="n"/>
      <c r="B45" s="1" t="inlineStr">
        <is>
          <t>™ is a designation for the Energy of continuity — awareness in motion.</t>
        </is>
      </c>
      <c r="C45" s="1" t="n"/>
    </row>
    <row r="46" ht="18" customHeight="1">
      <c r="A46" s="1" t="n"/>
      <c r="B46" s="1" t="inlineStr">
        <is>
          <t>Nothing in Port Meridian requires you. Everything responds to you.</t>
        </is>
      </c>
      <c r="C46" s="1" t="n"/>
    </row>
    <row r="47" ht="18" customHeight="1">
      <c r="A47" s="1" t="n"/>
      <c r="B47" s="1" t="n"/>
      <c r="C47" s="1" t="n"/>
    </row>
    <row r="48" ht="18" customHeight="1">
      <c r="A48" s="1" t="n"/>
      <c r="B48" s="1" t="inlineStr">
        <is>
          <t>EDITIONS CO-EXIST</t>
        </is>
      </c>
      <c r="C48" s="1" t="n"/>
    </row>
    <row r="49" ht="18" customHeight="1">
      <c r="A49" s="1" t="n"/>
      <c r="B49" s="1" t="inlineStr">
        <is>
          <t>Base = world-before-self-awareness · Frontier = system-awakening · HUD = instrument-and-console.</t>
        </is>
      </c>
      <c r="C49" s="1" t="n"/>
    </row>
    <row r="50" ht="18" customHeight="1">
      <c r="A50" s="1" t="n"/>
      <c r="B50" s="1" t="inlineStr">
        <is>
          <t>Keep them all. Each is Port Meridian at a different state of becoming.</t>
        </is>
      </c>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pane ySplit="11" topLeftCell="A12" activePane="bottomLeft" state="frozen"/>
      <selection pane="bottomLeft" activeCell="A1" sqref="A1"/>
    </sheetView>
  </sheetViews>
  <sheetFormatPr baseColWidth="8" defaultRowHeight="15"/>
  <cols>
    <col width="28" customWidth="1" min="1" max="1"/>
    <col width="90" customWidth="1" min="2" max="2"/>
  </cols>
  <sheetData>
    <row r="1">
      <c r="A1" s="156" t="inlineStr">
        <is>
          <t>SESSION LOOP™</t>
        </is>
      </c>
    </row>
    <row r="2">
      <c r="A2" s="157" t="inlineStr">
        <is>
          <t>A gentle, repeatable loop for engaging Port Meridian as a flow companion.</t>
        </is>
      </c>
    </row>
    <row r="4">
      <c r="A4" s="158" t="inlineStr">
        <is>
          <t>LIVE CONTEXT</t>
        </is>
      </c>
    </row>
    <row r="5">
      <c r="A5" s="159" t="inlineStr">
        <is>
          <t>World State</t>
        </is>
      </c>
      <c r="B5">
        <f>🧠 EVOLUTION!B4</f>
        <v/>
      </c>
    </row>
    <row r="6">
      <c r="A6" s="159" t="inlineStr">
        <is>
          <t>Emotional Tone</t>
        </is>
      </c>
      <c r="B6">
        <f>❤️ EMOTIONAL CLIMATE!B3</f>
        <v/>
      </c>
    </row>
    <row r="7">
      <c r="A7" s="159" t="inlineStr">
        <is>
          <t>Hotspot</t>
        </is>
      </c>
      <c r="B7">
        <f>🗺️ THE MAP!B21</f>
        <v/>
      </c>
    </row>
    <row r="8">
      <c r="A8" s="159" t="inlineStr">
        <is>
          <t>Operator Signal</t>
        </is>
      </c>
      <c r="B8" t="inlineStr"/>
    </row>
    <row r="9">
      <c r="A9" s="159" t="inlineStr">
        <is>
          <t>Drift</t>
        </is>
      </c>
      <c r="B9" t="inlineStr"/>
    </row>
    <row r="11">
      <c r="A11" s="158" t="inlineStr">
        <is>
          <t>THE LOOP</t>
        </is>
      </c>
    </row>
    <row r="12">
      <c r="A12" s="160" t="inlineStr">
        <is>
          <t>1. ARRIVE</t>
        </is>
      </c>
      <c r="B12" s="161" t="inlineStr">
        <is>
          <t>Open 🖥️ HUD. Take one breath. Notice what you’re carrying.</t>
        </is>
      </c>
    </row>
    <row r="13">
      <c r="A13" s="160" t="inlineStr">
        <is>
          <t>2. OBSERVE</t>
        </is>
      </c>
      <c r="B13" s="161" t="inlineStr">
        <is>
          <t>Read: World State, Emotional Tone, Hotspot, Operator Signal.</t>
        </is>
      </c>
    </row>
    <row r="14">
      <c r="A14" s="160" t="inlineStr">
        <is>
          <t>3. CHOOSE (OPTIONAL)</t>
        </is>
      </c>
      <c r="B14" s="161" t="inlineStr">
        <is>
          <t>If you want, edit 🔀 THE MANDELA → CURRENT REALITY for one element only.</t>
        </is>
      </c>
    </row>
    <row r="15">
      <c r="A15" s="160" t="inlineStr">
        <is>
          <t>4. NOTICE</t>
        </is>
      </c>
      <c r="B15" s="161" t="inlineStr">
        <is>
          <t>Watch 🗺️ THE MAP shading + 📖 ADAPTIVE NARRATIVE shift. No need to fix anything.</t>
        </is>
      </c>
    </row>
    <row r="16">
      <c r="A16" s="160" t="inlineStr">
        <is>
          <t>5. ACT (GENTLY)</t>
        </is>
      </c>
      <c r="B16" s="161" t="inlineStr">
        <is>
          <t>Use 🎮 OPERATOR MODE for one small supportive step (or skip).</t>
        </is>
      </c>
    </row>
    <row r="17">
      <c r="A17" s="160" t="inlineStr">
        <is>
          <t>6. LOG (LIGHTLY)</t>
        </is>
      </c>
      <c r="B17" s="161" t="inlineStr">
        <is>
          <t>In 📈 LONGITUDINAL LAB, write one sentence: ‘What did I notice?’</t>
        </is>
      </c>
    </row>
    <row r="18">
      <c r="A18" s="160" t="inlineStr">
        <is>
          <t>7. CLOSE</t>
        </is>
      </c>
      <c r="B18" s="161" t="inlineStr">
        <is>
          <t>Return to 🖥️ HUD. Name one thing that feels more coherent now.</t>
        </is>
      </c>
    </row>
    <row r="21">
      <c r="A21" s="158" t="inlineStr">
        <is>
          <t>REFLECTION</t>
        </is>
      </c>
    </row>
    <row r="22">
      <c r="A22" t="inlineStr">
        <is>
          <t>What did I notice?</t>
        </is>
      </c>
      <c r="B22" t="inlineStr"/>
    </row>
    <row r="23">
      <c r="A23" t="inlineStr">
        <is>
          <t>What shifted, if anything?</t>
        </is>
      </c>
      <c r="B23" t="inlineStr"/>
    </row>
    <row r="24">
      <c r="A24" t="inlineStr">
        <is>
          <t>What do I want to leave unchanged?</t>
        </is>
      </c>
      <c r="B24" t="inlineStr"/>
    </row>
    <row r="26">
      <c r="A26" s="158" t="inlineStr">
        <is>
          <t>PHYSICS PRESETS™ (OPTIONAL)</t>
        </is>
      </c>
    </row>
    <row r="27">
      <c r="A27" t="inlineStr">
        <is>
          <t>Preset</t>
        </is>
      </c>
      <c r="B27" t="inlineStr">
        <is>
          <t>Systems Navigator™</t>
        </is>
      </c>
    </row>
    <row r="28">
      <c r="A28" t="inlineStr">
        <is>
          <t>What it does</t>
        </is>
      </c>
      <c r="B28" t="inlineStr">
        <is>
          <t>Select a tone for your session. The CONTROL PANEL can be tuned to match.</t>
        </is>
      </c>
    </row>
    <row r="30">
      <c r="A30" t="inlineStr">
        <is>
          <t>Manual Tuning</t>
        </is>
      </c>
      <c r="B30" t="inlineStr">
        <is>
          <t>If you prefer: adjust Diffusion, Integrity, Integration, Drift Sensitivity in 🎛️ CONTROL PANEL.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Grasshopper Companion — Quickstart</t>
        </is>
      </c>
    </row>
    <row r="3">
      <c r="A3" t="inlineStr">
        <is>
          <t>1. Open 🖥️ HUD</t>
        </is>
      </c>
    </row>
    <row r="4">
      <c r="A4" t="inlineStr">
        <is>
          <t>2. If you choose, edit 🔀 THE MANDELA → CURRENT REALITY</t>
        </is>
      </c>
    </row>
    <row r="5">
      <c r="A5" t="inlineStr">
        <is>
          <t>3. Watch 🗺️ THE MAP (resonance shading) + ❤️ EMOTIONAL CLIMATE</t>
        </is>
      </c>
    </row>
    <row r="6">
      <c r="A6" t="inlineStr">
        <is>
          <t>4. Use 🎮 OPERATOR MODE for a gentle next step</t>
        </is>
      </c>
    </row>
    <row r="8">
      <c r="A8" t="inlineStr">
        <is>
          <t>Note</t>
        </is>
      </c>
      <c r="B8" t="inlineStr">
        <is>
          <t>This companion is designed for flow — brief check-ins are enough.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Integrated Strain</t>
        </is>
      </c>
      <c r="B12" s="143">
        <f>B2*(1/🎛️ CONTROL PANEL!B17)</f>
        <v/>
      </c>
    </row>
    <row r="13">
      <c r="A13" s="143" t="inlineStr">
        <is>
          <t>Integration Cycle Note</t>
        </is>
      </c>
      <c r="B13" s="143">
        <f>IF(B4="FRACTURING","Integration slows; invite gentle containment.",IF(B4="UNSTABLE","Integration seeks pacing.",IF(B4="WOBBLY","Integration is available.","Integration is spacious.")))</f>
        <v/>
      </c>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conditionalFormatting sqref="B4:I7">
    <cfRule type="expression" priority="3" dxfId="7">
      <formula>=XLOOKUP(B4,'🧩 NODE REGISTRY'!$E$4:$E$35,'🧩 NODE REGISTRY'!$M$4:$M$35,0)&gt;=🎛️ CONTROL PANEL!$B$19</formula>
    </cfRule>
    <cfRule type="expression" priority="4" dxfId="9">
      <formula>=XLOOKUP(B4,'🧩 NODE REGISTRY'!$E$4:$E$35,'🧩 NODE REGISTRY'!$M$4:$M$35,0)&gt;=🎛️ CONTROL PANEL!$B$20</formula>
    </cfRule>
    <cfRule type="expression" priority="5" dxfId="13">
      <formula>=XLOOKUP(B4,'🧩 NODE REGISTRY'!$E$4:$E$35,'🧩 NODE REGISTRY'!$M$4:$M$35,0)&gt;=🎛️ CONTROL PANEL!$B$21</formula>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0" customWidth="1" min="4" max="4"/>
    <col width="3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51" t="inlineStr">
        <is>
          <t>Port Meridian Node Registry™</t>
        </is>
      </c>
    </row>
    <row r="3">
      <c r="A3" s="151" t="inlineStr">
        <is>
          <t>Node ID</t>
        </is>
      </c>
      <c r="B3" s="151" t="inlineStr">
        <is>
          <t>Street</t>
        </is>
      </c>
      <c r="C3" s="151" t="inlineStr">
        <is>
          <t>Avenue</t>
        </is>
      </c>
      <c r="D3" s="151" t="inlineStr">
        <is>
          <t>Map Cell</t>
        </is>
      </c>
      <c r="E3" s="151" t="inlineStr">
        <is>
          <t>Node Name</t>
        </is>
      </c>
      <c r="F3" s="151" t="inlineStr">
        <is>
          <t>North</t>
        </is>
      </c>
      <c r="G3" s="151" t="inlineStr">
        <is>
          <t>South</t>
        </is>
      </c>
      <c r="H3" s="151" t="inlineStr">
        <is>
          <t>West</t>
        </is>
      </c>
      <c r="I3" s="151" t="inlineStr">
        <is>
          <t>East</t>
        </is>
      </c>
      <c r="J3" s="151" t="inlineStr">
        <is>
          <t>Integrity (0-1)</t>
        </is>
      </c>
      <c r="K3" s="151" t="inlineStr">
        <is>
          <t>Base Strain</t>
        </is>
      </c>
      <c r="L3" s="151" t="inlineStr">
        <is>
          <t>Neighbor Base Avg</t>
        </is>
      </c>
      <c r="M3" s="151" t="inlineStr">
        <is>
          <t>Diffused Strain</t>
        </is>
      </c>
    </row>
    <row r="4">
      <c r="A4" t="inlineStr">
        <is>
          <t>N01</t>
        </is>
      </c>
      <c r="B4" t="inlineStr">
        <is>
          <t>Pending Approval St</t>
        </is>
      </c>
      <c r="C4" t="inlineStr">
        <is>
          <t>Phrenology Dr</t>
        </is>
      </c>
      <c r="D4" t="inlineStr">
        <is>
          <t>B4</t>
        </is>
      </c>
      <c r="E4" t="inlineStr">
        <is>
          <t>The Berm Outpost</t>
        </is>
      </c>
      <c r="G4" t="inlineStr">
        <is>
          <t>Grandpa Lou's Archive</t>
        </is>
      </c>
      <c r="I4" t="inlineStr">
        <is>
          <t>The Welcome Sign</t>
        </is>
      </c>
      <c r="J4">
        <f>🎛️ CONTROL PANEL!B16</f>
        <v/>
      </c>
      <c r="K4">
        <f>SUMPRODUCT(--ISNUMBER(SEARCH(E4,'🔀 THE MANDELA'!$A$2:$A$200)),'🔀 THE MANDELA'!$F$2:$F$200)</f>
        <v/>
      </c>
      <c r="L4">
        <f>((XLOOKUP(F4,$E$4:$E$35,$K$4:$K$35,0))+(XLOOKUP(G4,$E$4:$E$35,$K$4:$K$35,0))+(XLOOKUP(H4,$E$4:$E$35,$K$4:$K$35,0))+(XLOOKUP(I4,$E$4:$E$35,$K$4:$K$35,0)))/MAX(1,(F4&lt;&gt;"")+(G4&lt;&gt;"")+(H4&lt;&gt;"")+(I4&lt;&gt;""))</f>
        <v/>
      </c>
      <c r="M4">
        <f>K4 + (🎛️ CONTROL PANEL!B15*(1-J4)*L4)</f>
        <v/>
      </c>
    </row>
    <row r="5">
      <c r="A5" t="inlineStr">
        <is>
          <t>N02</t>
        </is>
      </c>
      <c r="B5" t="inlineStr">
        <is>
          <t>Pending Approval St</t>
        </is>
      </c>
      <c r="C5" t="inlineStr">
        <is>
          <t>Alchemy Way</t>
        </is>
      </c>
      <c r="D5" t="inlineStr">
        <is>
          <t>C4</t>
        </is>
      </c>
      <c r="E5" t="inlineStr">
        <is>
          <t>The Welcome Sign</t>
        </is>
      </c>
      <c r="G5" t="inlineStr">
        <is>
          <t>The Institute for Tautological Studies</t>
        </is>
      </c>
      <c r="H5" t="inlineStr">
        <is>
          <t>The Berm Outpost</t>
        </is>
      </c>
      <c r="I5" t="inlineStr">
        <is>
          <t>The Ski &amp; Inn</t>
        </is>
      </c>
      <c r="J5">
        <f>🎛️ CONTROL PANEL!B16</f>
        <v/>
      </c>
      <c r="K5">
        <f>SUMPRODUCT(--ISNUMBER(SEARCH(E5,'🔀 THE MANDELA'!$A$2:$A$200)),'🔀 THE MANDELA'!$F$2:$F$200)</f>
        <v/>
      </c>
      <c r="L5">
        <f>((XLOOKUP(F5,$E$4:$E$35,$K$4:$K$35,0))+(XLOOKUP(G5,$E$4:$E$35,$K$4:$K$35,0))+(XLOOKUP(H5,$E$4:$E$35,$K$4:$K$35,0))+(XLOOKUP(I5,$E$4:$E$35,$K$4:$K$35,0)))/MAX(1,(F5&lt;&gt;"")+(G5&lt;&gt;"")+(H5&lt;&gt;"")+(I5&lt;&gt;""))</f>
        <v/>
      </c>
      <c r="M5">
        <f>K5 + (🎛️ CONTROL PANEL!B15*(1-J5)*L5)</f>
        <v/>
      </c>
    </row>
    <row r="6">
      <c r="A6" t="inlineStr">
        <is>
          <t>N03</t>
        </is>
      </c>
      <c r="B6" t="inlineStr">
        <is>
          <t>Pending Approval St</t>
        </is>
      </c>
      <c r="C6" t="inlineStr">
        <is>
          <t>Aetheric Physics Ln</t>
        </is>
      </c>
      <c r="D6" t="inlineStr">
        <is>
          <t>D4</t>
        </is>
      </c>
      <c r="E6" t="inlineStr">
        <is>
          <t>The Ski &amp; Inn</t>
        </is>
      </c>
      <c r="G6" t="inlineStr">
        <is>
          <t>The Corkboard Hub</t>
        </is>
      </c>
      <c r="H6" t="inlineStr">
        <is>
          <t>The Welcome Sign</t>
        </is>
      </c>
      <c r="I6" t="inlineStr">
        <is>
          <t>The Perceptual Shift Drive-In</t>
        </is>
      </c>
      <c r="J6">
        <f>🎛️ CONTROL PANEL!B16</f>
        <v/>
      </c>
      <c r="K6">
        <f>SUMPRODUCT(--ISNUMBER(SEARCH(E6,'🔀 THE MANDELA'!$A$2:$A$200)),'🔀 THE MANDELA'!$F$2:$F$200)</f>
        <v/>
      </c>
      <c r="L6">
        <f>((XLOOKUP(F6,$E$4:$E$35,$K$4:$K$35,0))+(XLOOKUP(G6,$E$4:$E$35,$K$4:$K$35,0))+(XLOOKUP(H6,$E$4:$E$35,$K$4:$K$35,0))+(XLOOKUP(I6,$E$4:$E$35,$K$4:$K$35,0)))/MAX(1,(F6&lt;&gt;"")+(G6&lt;&gt;"")+(H6&lt;&gt;"")+(I6&lt;&gt;""))</f>
        <v/>
      </c>
      <c r="M6">
        <f>K6 + (🎛️ CONTROL PANEL!B15*(1-J6)*L6)</f>
        <v/>
      </c>
    </row>
    <row r="7">
      <c r="A7" t="inlineStr">
        <is>
          <t>N04</t>
        </is>
      </c>
      <c r="B7" t="inlineStr">
        <is>
          <t>Pending Approval St</t>
        </is>
      </c>
      <c r="C7" t="inlineStr">
        <is>
          <t>Spontaneous Generation Path</t>
        </is>
      </c>
      <c r="D7" t="inlineStr">
        <is>
          <t>E4</t>
        </is>
      </c>
      <c r="E7" t="inlineStr">
        <is>
          <t>The Perceptual Shift Drive-In</t>
        </is>
      </c>
      <c r="G7" t="inlineStr">
        <is>
          <t>The Museum of Unwanted Architecture</t>
        </is>
      </c>
      <c r="H7" t="inlineStr">
        <is>
          <t>The Ski &amp; Inn</t>
        </is>
      </c>
      <c r="I7" t="inlineStr">
        <is>
          <t>The Hermitage of Provisional Conclusions</t>
        </is>
      </c>
      <c r="J7">
        <f>🎛️ CONTROL PANEL!B16</f>
        <v/>
      </c>
      <c r="K7">
        <f>SUMPRODUCT(--ISNUMBER(SEARCH(E7,'🔀 THE MANDELA'!$A$2:$A$200)),'🔀 THE MANDELA'!$F$2:$F$200)</f>
        <v/>
      </c>
      <c r="L7">
        <f>((XLOOKUP(F7,$E$4:$E$35,$K$4:$K$35,0))+(XLOOKUP(G7,$E$4:$E$35,$K$4:$K$35,0))+(XLOOKUP(H7,$E$4:$E$35,$K$4:$K$35,0))+(XLOOKUP(I7,$E$4:$E$35,$K$4:$K$35,0)))/MAX(1,(F7&lt;&gt;"")+(G7&lt;&gt;"")+(H7&lt;&gt;"")+(I7&lt;&gt;""))</f>
        <v/>
      </c>
      <c r="M7">
        <f>K7 + (🎛️ CONTROL PANEL!B15*(1-J7)*L7)</f>
        <v/>
      </c>
    </row>
    <row r="8">
      <c r="A8" t="inlineStr">
        <is>
          <t>N05</t>
        </is>
      </c>
      <c r="B8" t="inlineStr">
        <is>
          <t>Pending Approval St</t>
        </is>
      </c>
      <c r="C8" t="inlineStr">
        <is>
          <t>Vitalism Bend</t>
        </is>
      </c>
      <c r="D8" t="inlineStr">
        <is>
          <t>F4</t>
        </is>
      </c>
      <c r="E8" t="inlineStr">
        <is>
          <t>The Hermitage of Provisional Conclusions</t>
        </is>
      </c>
      <c r="G8" t="inlineStr">
        <is>
          <t>The Port Meridian Yacht Club</t>
        </is>
      </c>
      <c r="H8" t="inlineStr">
        <is>
          <t>The Perceptual Shift Drive-In</t>
        </is>
      </c>
      <c r="I8" t="inlineStr">
        <is>
          <t>The Port Meridian Transit Hub</t>
        </is>
      </c>
      <c r="J8">
        <f>🎛️ CONTROL PANEL!B16</f>
        <v/>
      </c>
      <c r="K8">
        <f>SUMPRODUCT(--ISNUMBER(SEARCH(E8,'🔀 THE MANDELA'!$A$2:$A$200)),'🔀 THE MANDELA'!$F$2:$F$200)</f>
        <v/>
      </c>
      <c r="L8">
        <f>((XLOOKUP(F8,$E$4:$E$35,$K$4:$K$35,0))+(XLOOKUP(G8,$E$4:$E$35,$K$4:$K$35,0))+(XLOOKUP(H8,$E$4:$E$35,$K$4:$K$35,0))+(XLOOKUP(I8,$E$4:$E$35,$K$4:$K$35,0)))/MAX(1,(F8&lt;&gt;"")+(G8&lt;&gt;"")+(H8&lt;&gt;"")+(I8&lt;&gt;""))</f>
        <v/>
      </c>
      <c r="M8">
        <f>K8 + (🎛️ CONTROL PANEL!B15*(1-J8)*L8)</f>
        <v/>
      </c>
    </row>
    <row r="9">
      <c r="A9" t="inlineStr">
        <is>
          <t>N06</t>
        </is>
      </c>
      <c r="B9" t="inlineStr">
        <is>
          <t>Pending Approval St</t>
        </is>
      </c>
      <c r="C9" t="inlineStr">
        <is>
          <t>Numerology Pass</t>
        </is>
      </c>
      <c r="D9" t="inlineStr">
        <is>
          <t>G4</t>
        </is>
      </c>
      <c r="E9" t="inlineStr">
        <is>
          <t>The Port Meridian Transit Hub</t>
        </is>
      </c>
      <c r="G9" t="inlineStr">
        <is>
          <t>The Office of Bureaucratic Tautology Office</t>
        </is>
      </c>
      <c r="H9" t="inlineStr">
        <is>
          <t>The Hermitage of Provisional Conclusions</t>
        </is>
      </c>
      <c r="I9" t="inlineStr">
        <is>
          <t>The Optimistic Forecast Station</t>
        </is>
      </c>
      <c r="J9">
        <f>🎛️ CONTROL PANEL!B16</f>
        <v/>
      </c>
      <c r="K9">
        <f>SUMPRODUCT(--ISNUMBER(SEARCH(E9,'🔀 THE MANDELA'!$A$2:$A$200)),'🔀 THE MANDELA'!$F$2:$F$200)</f>
        <v/>
      </c>
      <c r="L9">
        <f>((XLOOKUP(F9,$E$4:$E$35,$K$4:$K$35,0))+(XLOOKUP(G9,$E$4:$E$35,$K$4:$K$35,0))+(XLOOKUP(H9,$E$4:$E$35,$K$4:$K$35,0))+(XLOOKUP(I9,$E$4:$E$35,$K$4:$K$35,0)))/MAX(1,(F9&lt;&gt;"")+(G9&lt;&gt;"")+(H9&lt;&gt;"")+(I9&lt;&gt;""))</f>
        <v/>
      </c>
      <c r="M9">
        <f>K9 + (🎛️ CONTROL PANEL!B15*(1-J9)*L9)</f>
        <v/>
      </c>
    </row>
    <row r="10">
      <c r="A10" t="inlineStr">
        <is>
          <t>N07</t>
        </is>
      </c>
      <c r="B10" t="inlineStr">
        <is>
          <t>Pending Approval St</t>
        </is>
      </c>
      <c r="C10" t="inlineStr">
        <is>
          <t>Mesmerism Row</t>
        </is>
      </c>
      <c r="D10" t="inlineStr">
        <is>
          <t>H4</t>
        </is>
      </c>
      <c r="E10" t="inlineStr">
        <is>
          <t>The Optimistic Forecast Station</t>
        </is>
      </c>
      <c r="G10" t="inlineStr">
        <is>
          <t>The Holdout Quarter</t>
        </is>
      </c>
      <c r="H10" t="inlineStr">
        <is>
          <t>The Port Meridian Transit Hub</t>
        </is>
      </c>
      <c r="I10" t="inlineStr">
        <is>
          <t>The Threshold</t>
        </is>
      </c>
      <c r="J10">
        <f>🎛️ CONTROL PANEL!B16</f>
        <v/>
      </c>
      <c r="K10">
        <f>SUMPRODUCT(--ISNUMBER(SEARCH(E10,'🔀 THE MANDELA'!$A$2:$A$200)),'🔀 THE MANDELA'!$F$2:$F$200)</f>
        <v/>
      </c>
      <c r="L10">
        <f>((XLOOKUP(F10,$E$4:$E$35,$K$4:$K$35,0))+(XLOOKUP(G10,$E$4:$E$35,$K$4:$K$35,0))+(XLOOKUP(H10,$E$4:$E$35,$K$4:$K$35,0))+(XLOOKUP(I10,$E$4:$E$35,$K$4:$K$35,0)))/MAX(1,(F10&lt;&gt;"")+(G10&lt;&gt;"")+(H10&lt;&gt;"")+(I10&lt;&gt;""))</f>
        <v/>
      </c>
      <c r="M10">
        <f>K10 + (🎛️ CONTROL PANEL!B15*(1-J10)*L10)</f>
        <v/>
      </c>
    </row>
    <row r="11">
      <c r="A11" t="inlineStr">
        <is>
          <t>N08</t>
        </is>
      </c>
      <c r="B11" t="inlineStr">
        <is>
          <t>Pending Approval St</t>
        </is>
      </c>
      <c r="C11" t="inlineStr">
        <is>
          <t>Pataphysics Court</t>
        </is>
      </c>
      <c r="D11" t="inlineStr">
        <is>
          <t>I4</t>
        </is>
      </c>
      <c r="E11" t="inlineStr">
        <is>
          <t>The Threshold</t>
        </is>
      </c>
      <c r="G11" t="inlineStr">
        <is>
          <t>The Transplant Studios</t>
        </is>
      </c>
      <c r="H11" t="inlineStr">
        <is>
          <t>The Optimistic Forecast Station</t>
        </is>
      </c>
      <c r="J11">
        <f>🎛️ CONTROL PANEL!B16</f>
        <v/>
      </c>
      <c r="K11">
        <f>SUMPRODUCT(--ISNUMBER(SEARCH(E11,'🔀 THE MANDELA'!$A$2:$A$200)),'🔀 THE MANDELA'!$F$2:$F$200)</f>
        <v/>
      </c>
      <c r="L11">
        <f>((XLOOKUP(F11,$E$4:$E$35,$K$4:$K$35,0))+(XLOOKUP(G11,$E$4:$E$35,$K$4:$K$35,0))+(XLOOKUP(H11,$E$4:$E$35,$K$4:$K$35,0))+(XLOOKUP(I11,$E$4:$E$35,$K$4:$K$35,0)))/MAX(1,(F11&lt;&gt;"")+(G11&lt;&gt;"")+(H11&lt;&gt;"")+(I11&lt;&gt;""))</f>
        <v/>
      </c>
      <c r="M11">
        <f>K11 + (🎛️ CONTROL PANEL!B15*(1-J11)*L11)</f>
        <v/>
      </c>
    </row>
    <row r="12">
      <c r="A12" t="inlineStr">
        <is>
          <t>N09</t>
        </is>
      </c>
      <c r="B12" t="inlineStr">
        <is>
          <t>Further Review Rd</t>
        </is>
      </c>
      <c r="C12" t="inlineStr">
        <is>
          <t>Phrenology Dr</t>
        </is>
      </c>
      <c r="D12" t="inlineStr">
        <is>
          <t>B5</t>
        </is>
      </c>
      <c r="E12" t="inlineStr">
        <is>
          <t>Grandpa Lou's Archive</t>
        </is>
      </c>
      <c r="F12" t="inlineStr">
        <is>
          <t>The Berm Outpost</t>
        </is>
      </c>
      <c r="G12" t="inlineStr">
        <is>
          <t>Jonah's Seam Point</t>
        </is>
      </c>
      <c r="I12" t="inlineStr">
        <is>
          <t>The Institute for Tautological Studies</t>
        </is>
      </c>
      <c r="J12">
        <f>🎛️ CONTROL PANEL!B16</f>
        <v/>
      </c>
      <c r="K12">
        <f>SUMPRODUCT(--ISNUMBER(SEARCH(E12,'🔀 THE MANDELA'!$A$2:$A$200)),'🔀 THE MANDELA'!$F$2:$F$200)</f>
        <v/>
      </c>
      <c r="L12">
        <f>((XLOOKUP(F12,$E$4:$E$35,$K$4:$K$35,0))+(XLOOKUP(G12,$E$4:$E$35,$K$4:$K$35,0))+(XLOOKUP(H12,$E$4:$E$35,$K$4:$K$35,0))+(XLOOKUP(I12,$E$4:$E$35,$K$4:$K$35,0)))/MAX(1,(F12&lt;&gt;"")+(G12&lt;&gt;"")+(H12&lt;&gt;"")+(I12&lt;&gt;""))</f>
        <v/>
      </c>
      <c r="M12">
        <f>K12 + (🎛️ CONTROL PANEL!B15*(1-J12)*L12)</f>
        <v/>
      </c>
    </row>
    <row r="13">
      <c r="A13" t="inlineStr">
        <is>
          <t>N10</t>
        </is>
      </c>
      <c r="B13" t="inlineStr">
        <is>
          <t>Further Review Rd</t>
        </is>
      </c>
      <c r="C13" t="inlineStr">
        <is>
          <t>Alchemy Way</t>
        </is>
      </c>
      <c r="D13" t="inlineStr">
        <is>
          <t>C5</t>
        </is>
      </c>
      <c r="E13" t="inlineStr">
        <is>
          <t>The Institute for Tautological Studies</t>
        </is>
      </c>
      <c r="F13" t="inlineStr">
        <is>
          <t>The Welcome Sign</t>
        </is>
      </c>
      <c r="G13" t="inlineStr">
        <is>
          <t>The Convergence Zone (West)</t>
        </is>
      </c>
      <c r="H13" t="inlineStr">
        <is>
          <t>Grandpa Lou's Archive</t>
        </is>
      </c>
      <c r="I13" t="inlineStr">
        <is>
          <t>The Corkboard Hub</t>
        </is>
      </c>
      <c r="J13">
        <f>🎛️ CONTROL PANEL!B16</f>
        <v/>
      </c>
      <c r="K13">
        <f>SUMPRODUCT(--ISNUMBER(SEARCH(E13,'🔀 THE MANDELA'!$A$2:$A$200)),'🔀 THE MANDELA'!$F$2:$F$200)</f>
        <v/>
      </c>
      <c r="L13">
        <f>((XLOOKUP(F13,$E$4:$E$35,$K$4:$K$35,0))+(XLOOKUP(G13,$E$4:$E$35,$K$4:$K$35,0))+(XLOOKUP(H13,$E$4:$E$35,$K$4:$K$35,0))+(XLOOKUP(I13,$E$4:$E$35,$K$4:$K$35,0)))/MAX(1,(F13&lt;&gt;"")+(G13&lt;&gt;"")+(H13&lt;&gt;"")+(I13&lt;&gt;""))</f>
        <v/>
      </c>
      <c r="M13">
        <f>K13 + (🎛️ CONTROL PANEL!B15*(1-J13)*L13)</f>
        <v/>
      </c>
    </row>
    <row r="14">
      <c r="A14" t="inlineStr">
        <is>
          <t>N11</t>
        </is>
      </c>
      <c r="B14" t="inlineStr">
        <is>
          <t>Further Review Rd</t>
        </is>
      </c>
      <c r="C14" t="inlineStr">
        <is>
          <t>Aetheric Physics Ln</t>
        </is>
      </c>
      <c r="D14" t="inlineStr">
        <is>
          <t>D5</t>
        </is>
      </c>
      <c r="E14" t="inlineStr">
        <is>
          <t>The Corkboard Hub</t>
        </is>
      </c>
      <c r="F14" t="inlineStr">
        <is>
          <t>The Ski &amp; Inn</t>
        </is>
      </c>
      <c r="G14" t="inlineStr">
        <is>
          <t>Naomi's Listening Post</t>
        </is>
      </c>
      <c r="H14" t="inlineStr">
        <is>
          <t>The Institute for Tautological Studies</t>
        </is>
      </c>
      <c r="I14" t="inlineStr">
        <is>
          <t>The Museum of Unwanted Architecture</t>
        </is>
      </c>
      <c r="J14">
        <f>🎛️ CONTROL PANEL!B16</f>
        <v/>
      </c>
      <c r="K14">
        <f>SUMPRODUCT(--ISNUMBER(SEARCH(E14,'🔀 THE MANDELA'!$A$2:$A$200)),'🔀 THE MANDELA'!$F$2:$F$200)</f>
        <v/>
      </c>
      <c r="L14">
        <f>((XLOOKUP(F14,$E$4:$E$35,$K$4:$K$35,0))+(XLOOKUP(G14,$E$4:$E$35,$K$4:$K$35,0))+(XLOOKUP(H14,$E$4:$E$35,$K$4:$K$35,0))+(XLOOKUP(I14,$E$4:$E$35,$K$4:$K$35,0)))/MAX(1,(F14&lt;&gt;"")+(G14&lt;&gt;"")+(H14&lt;&gt;"")+(I14&lt;&gt;""))</f>
        <v/>
      </c>
      <c r="M14">
        <f>K14 + (🎛️ CONTROL PANEL!B15*(1-J14)*L14)</f>
        <v/>
      </c>
    </row>
    <row r="15">
      <c r="A15" t="inlineStr">
        <is>
          <t>N12</t>
        </is>
      </c>
      <c r="B15" t="inlineStr">
        <is>
          <t>Further Review Rd</t>
        </is>
      </c>
      <c r="C15" t="inlineStr">
        <is>
          <t>Spontaneous Generation Path</t>
        </is>
      </c>
      <c r="D15" t="inlineStr">
        <is>
          <t>E5</t>
        </is>
      </c>
      <c r="E15" t="inlineStr">
        <is>
          <t>The Museum of Unwanted Architecture</t>
        </is>
      </c>
      <c r="F15" t="inlineStr">
        <is>
          <t>The Perceptual Shift Drive-In</t>
        </is>
      </c>
      <c r="G15" t="inlineStr">
        <is>
          <t>The Nomad Encampment</t>
        </is>
      </c>
      <c r="H15" t="inlineStr">
        <is>
          <t>The Corkboard Hub</t>
        </is>
      </c>
      <c r="I15" t="inlineStr">
        <is>
          <t>The Port Meridian Yacht Club</t>
        </is>
      </c>
      <c r="J15">
        <f>🎛️ CONTROL PANEL!B16</f>
        <v/>
      </c>
      <c r="K15">
        <f>SUMPRODUCT(--ISNUMBER(SEARCH(E15,'🔀 THE MANDELA'!$A$2:$A$200)),'🔀 THE MANDELA'!$F$2:$F$200)</f>
        <v/>
      </c>
      <c r="L15">
        <f>((XLOOKUP(F15,$E$4:$E$35,$K$4:$K$35,0))+(XLOOKUP(G15,$E$4:$E$35,$K$4:$K$35,0))+(XLOOKUP(H15,$E$4:$E$35,$K$4:$K$35,0))+(XLOOKUP(I15,$E$4:$E$35,$K$4:$K$35,0)))/MAX(1,(F15&lt;&gt;"")+(G15&lt;&gt;"")+(H15&lt;&gt;"")+(I15&lt;&gt;""))</f>
        <v/>
      </c>
      <c r="M15">
        <f>K15 + (🎛️ CONTROL PANEL!B15*(1-J15)*L15)</f>
        <v/>
      </c>
    </row>
    <row r="16">
      <c r="A16" t="inlineStr">
        <is>
          <t>N13</t>
        </is>
      </c>
      <c r="B16" t="inlineStr">
        <is>
          <t>Further Review Rd</t>
        </is>
      </c>
      <c r="C16" t="inlineStr">
        <is>
          <t>Vitalism Bend</t>
        </is>
      </c>
      <c r="D16" t="inlineStr">
        <is>
          <t>F5</t>
        </is>
      </c>
      <c r="E16" t="inlineStr">
        <is>
          <t>The Port Meridian Yacht Club</t>
        </is>
      </c>
      <c r="F16" t="inlineStr">
        <is>
          <t>The Hermitage of Provisional Conclusions</t>
        </is>
      </c>
      <c r="G16" t="inlineStr">
        <is>
          <t>Milo's Error Log</t>
        </is>
      </c>
      <c r="H16" t="inlineStr">
        <is>
          <t>The Museum of Unwanted Architecture</t>
        </is>
      </c>
      <c r="I16" t="inlineStr">
        <is>
          <t>The Office of Bureaucratic Tautology Office</t>
        </is>
      </c>
      <c r="J16">
        <f>🎛️ CONTROL PANEL!B16</f>
        <v/>
      </c>
      <c r="K16">
        <f>SUMPRODUCT(--ISNUMBER(SEARCH(E16,'🔀 THE MANDELA'!$A$2:$A$200)),'🔀 THE MANDELA'!$F$2:$F$200)</f>
        <v/>
      </c>
      <c r="L16">
        <f>((XLOOKUP(F16,$E$4:$E$35,$K$4:$K$35,0))+(XLOOKUP(G16,$E$4:$E$35,$K$4:$K$35,0))+(XLOOKUP(H16,$E$4:$E$35,$K$4:$K$35,0))+(XLOOKUP(I16,$E$4:$E$35,$K$4:$K$35,0)))/MAX(1,(F16&lt;&gt;"")+(G16&lt;&gt;"")+(H16&lt;&gt;"")+(I16&lt;&gt;""))</f>
        <v/>
      </c>
      <c r="M16">
        <f>K16 + (🎛️ CONTROL PANEL!B15*(1-J16)*L16)</f>
        <v/>
      </c>
    </row>
    <row r="17">
      <c r="A17" t="inlineStr">
        <is>
          <t>N14</t>
        </is>
      </c>
      <c r="B17" t="inlineStr">
        <is>
          <t>Further Review Rd</t>
        </is>
      </c>
      <c r="C17" t="inlineStr">
        <is>
          <t>Numerology Pass</t>
        </is>
      </c>
      <c r="D17" t="inlineStr">
        <is>
          <t>G5</t>
        </is>
      </c>
      <c r="E17" t="inlineStr">
        <is>
          <t>The Office of Bureaucratic Tautology Office</t>
        </is>
      </c>
      <c r="F17" t="inlineStr">
        <is>
          <t>The Port Meridian Transit Hub</t>
        </is>
      </c>
      <c r="G17" t="inlineStr">
        <is>
          <t>The Convergence Zone (East)</t>
        </is>
      </c>
      <c r="H17" t="inlineStr">
        <is>
          <t>The Port Meridian Yacht Club</t>
        </is>
      </c>
      <c r="I17" t="inlineStr">
        <is>
          <t>The Holdout Quarter</t>
        </is>
      </c>
      <c r="J17">
        <f>🎛️ CONTROL PANEL!B16</f>
        <v/>
      </c>
      <c r="K17">
        <f>SUMPRODUCT(--ISNUMBER(SEARCH(E17,'🔀 THE MANDELA'!$A$2:$A$200)),'🔀 THE MANDELA'!$F$2:$F$200)</f>
        <v/>
      </c>
      <c r="L17">
        <f>((XLOOKUP(F17,$E$4:$E$35,$K$4:$K$35,0))+(XLOOKUP(G17,$E$4:$E$35,$K$4:$K$35,0))+(XLOOKUP(H17,$E$4:$E$35,$K$4:$K$35,0))+(XLOOKUP(I17,$E$4:$E$35,$K$4:$K$35,0)))/MAX(1,(F17&lt;&gt;"")+(G17&lt;&gt;"")+(H17&lt;&gt;"")+(I17&lt;&gt;""))</f>
        <v/>
      </c>
      <c r="M17">
        <f>K17 + (🎛️ CONTROL PANEL!B15*(1-J17)*L17)</f>
        <v/>
      </c>
    </row>
    <row r="18">
      <c r="A18" t="inlineStr">
        <is>
          <t>N15</t>
        </is>
      </c>
      <c r="B18" t="inlineStr">
        <is>
          <t>Further Review Rd</t>
        </is>
      </c>
      <c r="C18" t="inlineStr">
        <is>
          <t>Mesmerism Row</t>
        </is>
      </c>
      <c r="D18" t="inlineStr">
        <is>
          <t>H5</t>
        </is>
      </c>
      <c r="E18" t="inlineStr">
        <is>
          <t>The Holdout Quarter</t>
        </is>
      </c>
      <c r="F18" t="inlineStr">
        <is>
          <t>The Optimistic Forecast Station</t>
        </is>
      </c>
      <c r="G18" t="inlineStr">
        <is>
          <t>Ella's Rewrite Studio</t>
        </is>
      </c>
      <c r="H18" t="inlineStr">
        <is>
          <t>The Office of Bureaucratic Tautology Office</t>
        </is>
      </c>
      <c r="I18" t="inlineStr">
        <is>
          <t>The Transplant Studios</t>
        </is>
      </c>
      <c r="J18">
        <f>🎛️ CONTROL PANEL!B16</f>
        <v/>
      </c>
      <c r="K18">
        <f>SUMPRODUCT(--ISNUMBER(SEARCH(E18,'🔀 THE MANDELA'!$A$2:$A$200)),'🔀 THE MANDELA'!$F$2:$F$200)</f>
        <v/>
      </c>
      <c r="L18">
        <f>((XLOOKUP(F18,$E$4:$E$35,$K$4:$K$35,0))+(XLOOKUP(G18,$E$4:$E$35,$K$4:$K$35,0))+(XLOOKUP(H18,$E$4:$E$35,$K$4:$K$35,0))+(XLOOKUP(I18,$E$4:$E$35,$K$4:$K$35,0)))/MAX(1,(F18&lt;&gt;"")+(G18&lt;&gt;"")+(H18&lt;&gt;"")+(I18&lt;&gt;""))</f>
        <v/>
      </c>
      <c r="M18">
        <f>K18 + (🎛️ CONTROL PANEL!B15*(1-J18)*L18)</f>
        <v/>
      </c>
    </row>
    <row r="19">
      <c r="A19" t="inlineStr">
        <is>
          <t>N16</t>
        </is>
      </c>
      <c r="B19" t="inlineStr">
        <is>
          <t>Further Review Rd</t>
        </is>
      </c>
      <c r="C19" t="inlineStr">
        <is>
          <t>Pataphysics Court</t>
        </is>
      </c>
      <c r="D19" t="inlineStr">
        <is>
          <t>I5</t>
        </is>
      </c>
      <c r="E19" t="inlineStr">
        <is>
          <t>The Transplant Studios</t>
        </is>
      </c>
      <c r="F19" t="inlineStr">
        <is>
          <t>The Threshold</t>
        </is>
      </c>
      <c r="G19" t="inlineStr">
        <is>
          <t>The Nomad Relay Station</t>
        </is>
      </c>
      <c r="H19" t="inlineStr">
        <is>
          <t>The Holdout Quarter</t>
        </is>
      </c>
      <c r="J19">
        <f>🎛️ CONTROL PANEL!B16</f>
        <v/>
      </c>
      <c r="K19">
        <f>SUMPRODUCT(--ISNUMBER(SEARCH(E19,'🔀 THE MANDELA'!$A$2:$A$200)),'🔀 THE MANDELA'!$F$2:$F$200)</f>
        <v/>
      </c>
      <c r="L19">
        <f>((XLOOKUP(F19,$E$4:$E$35,$K$4:$K$35,0))+(XLOOKUP(G19,$E$4:$E$35,$K$4:$K$35,0))+(XLOOKUP(H19,$E$4:$E$35,$K$4:$K$35,0))+(XLOOKUP(I19,$E$4:$E$35,$K$4:$K$35,0)))/MAX(1,(F19&lt;&gt;"")+(G19&lt;&gt;"")+(H19&lt;&gt;"")+(I19&lt;&gt;""))</f>
        <v/>
      </c>
      <c r="M19">
        <f>K19 + (🎛️ CONTROL PANEL!B15*(1-J19)*L19)</f>
        <v/>
      </c>
    </row>
    <row r="20">
      <c r="A20" t="inlineStr">
        <is>
          <t>N17</t>
        </is>
      </c>
      <c r="B20" t="inlineStr">
        <is>
          <t>Tabled for Discussion Blvd</t>
        </is>
      </c>
      <c r="C20" t="inlineStr">
        <is>
          <t>Phrenology Dr</t>
        </is>
      </c>
      <c r="D20" t="inlineStr">
        <is>
          <t>B6</t>
        </is>
      </c>
      <c r="E20" t="inlineStr">
        <is>
          <t>Jonah's Seam Point</t>
        </is>
      </c>
      <c r="F20" t="inlineStr">
        <is>
          <t>Grandpa Lou's Archive</t>
        </is>
      </c>
      <c r="G20" t="inlineStr">
        <is>
          <t>The Void Approach (West)</t>
        </is>
      </c>
      <c r="I20" t="inlineStr">
        <is>
          <t>The Convergence Zone (West)</t>
        </is>
      </c>
      <c r="J20">
        <f>🎛️ CONTROL PANEL!B16</f>
        <v/>
      </c>
      <c r="K20">
        <f>SUMPRODUCT(--ISNUMBER(SEARCH(E20,'🔀 THE MANDELA'!$A$2:$A$200)),'🔀 THE MANDELA'!$F$2:$F$200)</f>
        <v/>
      </c>
      <c r="L20">
        <f>((XLOOKUP(F20,$E$4:$E$35,$K$4:$K$35,0))+(XLOOKUP(G20,$E$4:$E$35,$K$4:$K$35,0))+(XLOOKUP(H20,$E$4:$E$35,$K$4:$K$35,0))+(XLOOKUP(I20,$E$4:$E$35,$K$4:$K$35,0)))/MAX(1,(F20&lt;&gt;"")+(G20&lt;&gt;"")+(H20&lt;&gt;"")+(I20&lt;&gt;""))</f>
        <v/>
      </c>
      <c r="M20">
        <f>K20 + (🎛️ CONTROL PANEL!B15*(1-J20)*L20)</f>
        <v/>
      </c>
    </row>
    <row r="21">
      <c r="A21" t="inlineStr">
        <is>
          <t>N18</t>
        </is>
      </c>
      <c r="B21" t="inlineStr">
        <is>
          <t>Tabled for Discussion Blvd</t>
        </is>
      </c>
      <c r="C21" t="inlineStr">
        <is>
          <t>Alchemy Way</t>
        </is>
      </c>
      <c r="D21" t="inlineStr">
        <is>
          <t>C6</t>
        </is>
      </c>
      <c r="E21" t="inlineStr">
        <is>
          <t>The Convergence Zone (West)</t>
        </is>
      </c>
      <c r="F21" t="inlineStr">
        <is>
          <t>The Institute for Tautological Studies</t>
        </is>
      </c>
      <c r="G21" t="inlineStr">
        <is>
          <t>The Submerged Archive</t>
        </is>
      </c>
      <c r="H21" t="inlineStr">
        <is>
          <t>Jonah's Seam Point</t>
        </is>
      </c>
      <c r="I21" t="inlineStr">
        <is>
          <t>Naomi's Listening Post</t>
        </is>
      </c>
      <c r="J21">
        <f>🎛️ CONTROL PANEL!B16</f>
        <v/>
      </c>
      <c r="K21">
        <f>SUMPRODUCT(--ISNUMBER(SEARCH(E21,'🔀 THE MANDELA'!$A$2:$A$200)),'🔀 THE MANDELA'!$F$2:$F$200)</f>
        <v/>
      </c>
      <c r="L21">
        <f>((XLOOKUP(F21,$E$4:$E$35,$K$4:$K$35,0))+(XLOOKUP(G21,$E$4:$E$35,$K$4:$K$35,0))+(XLOOKUP(H21,$E$4:$E$35,$K$4:$K$35,0))+(XLOOKUP(I21,$E$4:$E$35,$K$4:$K$35,0)))/MAX(1,(F21&lt;&gt;"")+(G21&lt;&gt;"")+(H21&lt;&gt;"")+(I21&lt;&gt;""))</f>
        <v/>
      </c>
      <c r="M21">
        <f>K21 + (🎛️ CONTROL PANEL!B15*(1-J21)*L21)</f>
        <v/>
      </c>
    </row>
    <row r="22">
      <c r="A22" t="inlineStr">
        <is>
          <t>N19</t>
        </is>
      </c>
      <c r="B22" t="inlineStr">
        <is>
          <t>Tabled for Discussion Blvd</t>
        </is>
      </c>
      <c r="C22" t="inlineStr">
        <is>
          <t>Aetheric Physics Ln</t>
        </is>
      </c>
      <c r="D22" t="inlineStr">
        <is>
          <t>D6</t>
        </is>
      </c>
      <c r="E22" t="inlineStr">
        <is>
          <t>Naomi's Listening Post</t>
        </is>
      </c>
      <c r="F22" t="inlineStr">
        <is>
          <t>The Corkboard Hub</t>
        </is>
      </c>
      <c r="G22" t="inlineStr">
        <is>
          <t>The Swing</t>
        </is>
      </c>
      <c r="H22" t="inlineStr">
        <is>
          <t>The Convergence Zone (West)</t>
        </is>
      </c>
      <c r="I22" t="inlineStr">
        <is>
          <t>The Nomad Encampment</t>
        </is>
      </c>
      <c r="J22">
        <f>🎛️ CONTROL PANEL!B16</f>
        <v/>
      </c>
      <c r="K22">
        <f>SUMPRODUCT(--ISNUMBER(SEARCH(E22,'🔀 THE MANDELA'!$A$2:$A$200)),'🔀 THE MANDELA'!$F$2:$F$200)</f>
        <v/>
      </c>
      <c r="L22">
        <f>((XLOOKUP(F22,$E$4:$E$35,$K$4:$K$35,0))+(XLOOKUP(G22,$E$4:$E$35,$K$4:$K$35,0))+(XLOOKUP(H22,$E$4:$E$35,$K$4:$K$35,0))+(XLOOKUP(I22,$E$4:$E$35,$K$4:$K$35,0)))/MAX(1,(F22&lt;&gt;"")+(G22&lt;&gt;"")+(H22&lt;&gt;"")+(I22&lt;&gt;""))</f>
        <v/>
      </c>
      <c r="M22">
        <f>K22 + (🎛️ CONTROL PANEL!B15*(1-J22)*L22)</f>
        <v/>
      </c>
    </row>
    <row r="23">
      <c r="A23" t="inlineStr">
        <is>
          <t>N20</t>
        </is>
      </c>
      <c r="B23" t="inlineStr">
        <is>
          <t>Tabled for Discussion Blvd</t>
        </is>
      </c>
      <c r="C23" t="inlineStr">
        <is>
          <t>Spontaneous Generation Path</t>
        </is>
      </c>
      <c r="D23" t="inlineStr">
        <is>
          <t>E6</t>
        </is>
      </c>
      <c r="E23" t="inlineStr">
        <is>
          <t>The Nomad Encampment</t>
        </is>
      </c>
      <c r="F23" t="inlineStr">
        <is>
          <t>The Museum of Unwanted Architecture</t>
        </is>
      </c>
      <c r="G23" t="inlineStr">
        <is>
          <t>The Parable 15 Site</t>
        </is>
      </c>
      <c r="H23" t="inlineStr">
        <is>
          <t>Naomi's Listening Post</t>
        </is>
      </c>
      <c r="I23" t="inlineStr">
        <is>
          <t>Milo's Error Log</t>
        </is>
      </c>
      <c r="J23">
        <f>🎛️ CONTROL PANEL!B16</f>
        <v/>
      </c>
      <c r="K23">
        <f>SUMPRODUCT(--ISNUMBER(SEARCH(E23,'🔀 THE MANDELA'!$A$2:$A$200)),'🔀 THE MANDELA'!$F$2:$F$200)</f>
        <v/>
      </c>
      <c r="L23">
        <f>((XLOOKUP(F23,$E$4:$E$35,$K$4:$K$35,0))+(XLOOKUP(G23,$E$4:$E$35,$K$4:$K$35,0))+(XLOOKUP(H23,$E$4:$E$35,$K$4:$K$35,0))+(XLOOKUP(I23,$E$4:$E$35,$K$4:$K$35,0)))/MAX(1,(F23&lt;&gt;"")+(G23&lt;&gt;"")+(H23&lt;&gt;"")+(I23&lt;&gt;""))</f>
        <v/>
      </c>
      <c r="M23">
        <f>K23 + (🎛️ CONTROL PANEL!B15*(1-J23)*L23)</f>
        <v/>
      </c>
    </row>
    <row r="24">
      <c r="A24" t="inlineStr">
        <is>
          <t>N21</t>
        </is>
      </c>
      <c r="B24" t="inlineStr">
        <is>
          <t>Tabled for Discussion Blvd</t>
        </is>
      </c>
      <c r="C24" t="inlineStr">
        <is>
          <t>Vitalism Bend</t>
        </is>
      </c>
      <c r="D24" t="inlineStr">
        <is>
          <t>F6</t>
        </is>
      </c>
      <c r="E24" t="inlineStr">
        <is>
          <t>Milo's Error Log</t>
        </is>
      </c>
      <c r="F24" t="inlineStr">
        <is>
          <t>The Port Meridian Yacht Club</t>
        </is>
      </c>
      <c r="G24" t="inlineStr">
        <is>
          <t>The Deep Memory Layer</t>
        </is>
      </c>
      <c r="H24" t="inlineStr">
        <is>
          <t>The Nomad Encampment</t>
        </is>
      </c>
      <c r="I24" t="inlineStr">
        <is>
          <t>The Convergence Zone (East)</t>
        </is>
      </c>
      <c r="J24">
        <f>🎛️ CONTROL PANEL!B16</f>
        <v/>
      </c>
      <c r="K24">
        <f>SUMPRODUCT(--ISNUMBER(SEARCH(E24,'🔀 THE MANDELA'!$A$2:$A$200)),'🔀 THE MANDELA'!$F$2:$F$200)</f>
        <v/>
      </c>
      <c r="L24">
        <f>((XLOOKUP(F24,$E$4:$E$35,$K$4:$K$35,0))+(XLOOKUP(G24,$E$4:$E$35,$K$4:$K$35,0))+(XLOOKUP(H24,$E$4:$E$35,$K$4:$K$35,0))+(XLOOKUP(I24,$E$4:$E$35,$K$4:$K$35,0)))/MAX(1,(F24&lt;&gt;"")+(G24&lt;&gt;"")+(H24&lt;&gt;"")+(I24&lt;&gt;""))</f>
        <v/>
      </c>
      <c r="M24">
        <f>K24 + (🎛️ CONTROL PANEL!B15*(1-J24)*L24)</f>
        <v/>
      </c>
    </row>
    <row r="25">
      <c r="A25" t="inlineStr">
        <is>
          <t>N22</t>
        </is>
      </c>
      <c r="B25" t="inlineStr">
        <is>
          <t>Tabled for Discussion Blvd</t>
        </is>
      </c>
      <c r="C25" t="inlineStr">
        <is>
          <t>Numerology Pass</t>
        </is>
      </c>
      <c r="D25" t="inlineStr">
        <is>
          <t>G6</t>
        </is>
      </c>
      <c r="E25" t="inlineStr">
        <is>
          <t>The Convergence Zone (East)</t>
        </is>
      </c>
      <c r="F25" t="inlineStr">
        <is>
          <t>The Office of Bureaucratic Tautology Office</t>
        </is>
      </c>
      <c r="G25" t="inlineStr">
        <is>
          <t>The Void Threshold</t>
        </is>
      </c>
      <c r="H25" t="inlineStr">
        <is>
          <t>Milo's Error Log</t>
        </is>
      </c>
      <c r="I25" t="inlineStr">
        <is>
          <t>Ella's Rewrite Studio</t>
        </is>
      </c>
      <c r="J25">
        <f>🎛️ CONTROL PANEL!B16</f>
        <v/>
      </c>
      <c r="K25">
        <f>SUMPRODUCT(--ISNUMBER(SEARCH(E25,'🔀 THE MANDELA'!$A$2:$A$200)),'🔀 THE MANDELA'!$F$2:$F$200)</f>
        <v/>
      </c>
      <c r="L25">
        <f>((XLOOKUP(F25,$E$4:$E$35,$K$4:$K$35,0))+(XLOOKUP(G25,$E$4:$E$35,$K$4:$K$35,0))+(XLOOKUP(H25,$E$4:$E$35,$K$4:$K$35,0))+(XLOOKUP(I25,$E$4:$E$35,$K$4:$K$35,0)))/MAX(1,(F25&lt;&gt;"")+(G25&lt;&gt;"")+(H25&lt;&gt;"")+(I25&lt;&gt;""))</f>
        <v/>
      </c>
      <c r="M25">
        <f>K25 + (🎛️ CONTROL PANEL!B15*(1-J25)*L25)</f>
        <v/>
      </c>
    </row>
    <row r="26">
      <c r="A26" t="inlineStr">
        <is>
          <t>N23</t>
        </is>
      </c>
      <c r="B26" t="inlineStr">
        <is>
          <t>Tabled for Discussion Blvd</t>
        </is>
      </c>
      <c r="C26" t="inlineStr">
        <is>
          <t>Mesmerism Row</t>
        </is>
      </c>
      <c r="D26" t="inlineStr">
        <is>
          <t>H6</t>
        </is>
      </c>
      <c r="E26" t="inlineStr">
        <is>
          <t>Ella's Rewrite Studio</t>
        </is>
      </c>
      <c r="F26" t="inlineStr">
        <is>
          <t>The Holdout Quarter</t>
        </is>
      </c>
      <c r="G26" t="inlineStr">
        <is>
          <t>Archived Without Comment (Submerged)</t>
        </is>
      </c>
      <c r="H26" t="inlineStr">
        <is>
          <t>The Convergence Zone (East)</t>
        </is>
      </c>
      <c r="I26" t="inlineStr">
        <is>
          <t>The Nomad Relay Station</t>
        </is>
      </c>
      <c r="J26">
        <f>🎛️ CONTROL PANEL!B16</f>
        <v/>
      </c>
      <c r="K26">
        <f>SUMPRODUCT(--ISNUMBER(SEARCH(E26,'🔀 THE MANDELA'!$A$2:$A$200)),'🔀 THE MANDELA'!$F$2:$F$200)</f>
        <v/>
      </c>
      <c r="L26">
        <f>((XLOOKUP(F26,$E$4:$E$35,$K$4:$K$35,0))+(XLOOKUP(G26,$E$4:$E$35,$K$4:$K$35,0))+(XLOOKUP(H26,$E$4:$E$35,$K$4:$K$35,0))+(XLOOKUP(I26,$E$4:$E$35,$K$4:$K$35,0)))/MAX(1,(F26&lt;&gt;"")+(G26&lt;&gt;"")+(H26&lt;&gt;"")+(I26&lt;&gt;""))</f>
        <v/>
      </c>
      <c r="M26">
        <f>K26 + (🎛️ CONTROL PANEL!B15*(1-J26)*L26)</f>
        <v/>
      </c>
    </row>
    <row r="27">
      <c r="A27" t="inlineStr">
        <is>
          <t>N24</t>
        </is>
      </c>
      <c r="B27" t="inlineStr">
        <is>
          <t>Tabled for Discussion Blvd</t>
        </is>
      </c>
      <c r="C27" t="inlineStr">
        <is>
          <t>Pataphysics Court</t>
        </is>
      </c>
      <c r="D27" t="inlineStr">
        <is>
          <t>I6</t>
        </is>
      </c>
      <c r="E27" t="inlineStr">
        <is>
          <t>The Nomad Relay Station</t>
        </is>
      </c>
      <c r="F27" t="inlineStr">
        <is>
          <t>The Transplant Studios</t>
        </is>
      </c>
      <c r="G27" t="inlineStr">
        <is>
          <t>The Void (The Inadvertent Ocean)</t>
        </is>
      </c>
      <c r="H27" t="inlineStr">
        <is>
          <t>Ella's Rewrite Studio</t>
        </is>
      </c>
      <c r="J27">
        <f>🎛️ CONTROL PANEL!B16</f>
        <v/>
      </c>
      <c r="K27">
        <f>SUMPRODUCT(--ISNUMBER(SEARCH(E27,'🔀 THE MANDELA'!$A$2:$A$200)),'🔀 THE MANDELA'!$F$2:$F$200)</f>
        <v/>
      </c>
      <c r="L27">
        <f>((XLOOKUP(F27,$E$4:$E$35,$K$4:$K$35,0))+(XLOOKUP(G27,$E$4:$E$35,$K$4:$K$35,0))+(XLOOKUP(H27,$E$4:$E$35,$K$4:$K$35,0))+(XLOOKUP(I27,$E$4:$E$35,$K$4:$K$35,0)))/MAX(1,(F27&lt;&gt;"")+(G27&lt;&gt;"")+(H27&lt;&gt;"")+(I27&lt;&gt;""))</f>
        <v/>
      </c>
      <c r="M27">
        <f>K27 + (🎛️ CONTROL PANEL!B15*(1-J27)*L27)</f>
        <v/>
      </c>
    </row>
    <row r="28">
      <c r="A28" t="inlineStr">
        <is>
          <t>N25</t>
        </is>
      </c>
      <c r="B28" t="inlineStr">
        <is>
          <t>Archived Without Comment Ave</t>
        </is>
      </c>
      <c r="C28" t="inlineStr">
        <is>
          <t>Phrenology Dr</t>
        </is>
      </c>
      <c r="D28" t="inlineStr">
        <is>
          <t>B7</t>
        </is>
      </c>
      <c r="E28" t="inlineStr">
        <is>
          <t>The Void Approach (West)</t>
        </is>
      </c>
      <c r="F28" t="inlineStr">
        <is>
          <t>Jonah's Seam Point</t>
        </is>
      </c>
      <c r="I28" t="inlineStr">
        <is>
          <t>The Submerged Archive</t>
        </is>
      </c>
      <c r="J28">
        <f>🎛️ CONTROL PANEL!B16</f>
        <v/>
      </c>
      <c r="K28">
        <f>SUMPRODUCT(--ISNUMBER(SEARCH(E28,'🔀 THE MANDELA'!$A$2:$A$200)),'🔀 THE MANDELA'!$F$2:$F$200)</f>
        <v/>
      </c>
      <c r="L28">
        <f>((XLOOKUP(F28,$E$4:$E$35,$K$4:$K$35,0))+(XLOOKUP(G28,$E$4:$E$35,$K$4:$K$35,0))+(XLOOKUP(H28,$E$4:$E$35,$K$4:$K$35,0))+(XLOOKUP(I28,$E$4:$E$35,$K$4:$K$35,0)))/MAX(1,(F28&lt;&gt;"")+(G28&lt;&gt;"")+(H28&lt;&gt;"")+(I28&lt;&gt;""))</f>
        <v/>
      </c>
      <c r="M28">
        <f>K28 + (🎛️ CONTROL PANEL!B15*(1-J28)*L28)</f>
        <v/>
      </c>
    </row>
    <row r="29">
      <c r="A29" t="inlineStr">
        <is>
          <t>N26</t>
        </is>
      </c>
      <c r="B29" t="inlineStr">
        <is>
          <t>Archived Without Comment Ave</t>
        </is>
      </c>
      <c r="C29" t="inlineStr">
        <is>
          <t>Alchemy Way</t>
        </is>
      </c>
      <c r="D29" t="inlineStr">
        <is>
          <t>C7</t>
        </is>
      </c>
      <c r="E29" t="inlineStr">
        <is>
          <t>The Submerged Archive</t>
        </is>
      </c>
      <c r="F29" t="inlineStr">
        <is>
          <t>The Convergence Zone (West)</t>
        </is>
      </c>
      <c r="H29" t="inlineStr">
        <is>
          <t>The Void Approach (West)</t>
        </is>
      </c>
      <c r="I29" t="inlineStr">
        <is>
          <t>The Swing</t>
        </is>
      </c>
      <c r="J29">
        <f>🎛️ CONTROL PANEL!B16</f>
        <v/>
      </c>
      <c r="K29">
        <f>SUMPRODUCT(--ISNUMBER(SEARCH(E29,'🔀 THE MANDELA'!$A$2:$A$200)),'🔀 THE MANDELA'!$F$2:$F$200)</f>
        <v/>
      </c>
      <c r="L29">
        <f>((XLOOKUP(F29,$E$4:$E$35,$K$4:$K$35,0))+(XLOOKUP(G29,$E$4:$E$35,$K$4:$K$35,0))+(XLOOKUP(H29,$E$4:$E$35,$K$4:$K$35,0))+(XLOOKUP(I29,$E$4:$E$35,$K$4:$K$35,0)))/MAX(1,(F29&lt;&gt;"")+(G29&lt;&gt;"")+(H29&lt;&gt;"")+(I29&lt;&gt;""))</f>
        <v/>
      </c>
      <c r="M29">
        <f>K29 + (🎛️ CONTROL PANEL!B15*(1-J29)*L29)</f>
        <v/>
      </c>
    </row>
    <row r="30">
      <c r="A30" t="inlineStr">
        <is>
          <t>N27</t>
        </is>
      </c>
      <c r="B30" t="inlineStr">
        <is>
          <t>Archived Without Comment Ave</t>
        </is>
      </c>
      <c r="C30" t="inlineStr">
        <is>
          <t>Aetheric Physics Ln</t>
        </is>
      </c>
      <c r="D30" t="inlineStr">
        <is>
          <t>D7</t>
        </is>
      </c>
      <c r="E30" t="inlineStr">
        <is>
          <t>The Swing</t>
        </is>
      </c>
      <c r="F30" t="inlineStr">
        <is>
          <t>Naomi's Listening Post</t>
        </is>
      </c>
      <c r="H30" t="inlineStr">
        <is>
          <t>The Submerged Archive</t>
        </is>
      </c>
      <c r="I30" t="inlineStr">
        <is>
          <t>The Parable 15 Site</t>
        </is>
      </c>
      <c r="J30">
        <f>🎛️ CONTROL PANEL!B16</f>
        <v/>
      </c>
      <c r="K30">
        <f>SUMPRODUCT(--ISNUMBER(SEARCH(E30,'🔀 THE MANDELA'!$A$2:$A$200)),'🔀 THE MANDELA'!$F$2:$F$200)</f>
        <v/>
      </c>
      <c r="L30">
        <f>((XLOOKUP(F30,$E$4:$E$35,$K$4:$K$35,0))+(XLOOKUP(G30,$E$4:$E$35,$K$4:$K$35,0))+(XLOOKUP(H30,$E$4:$E$35,$K$4:$K$35,0))+(XLOOKUP(I30,$E$4:$E$35,$K$4:$K$35,0)))/MAX(1,(F30&lt;&gt;"")+(G30&lt;&gt;"")+(H30&lt;&gt;"")+(I30&lt;&gt;""))</f>
        <v/>
      </c>
      <c r="M30">
        <f>K30 + (🎛️ CONTROL PANEL!B15*(1-J30)*L30)</f>
        <v/>
      </c>
    </row>
    <row r="31">
      <c r="A31" t="inlineStr">
        <is>
          <t>N28</t>
        </is>
      </c>
      <c r="B31" t="inlineStr">
        <is>
          <t>Archived Without Comment Ave</t>
        </is>
      </c>
      <c r="C31" t="inlineStr">
        <is>
          <t>Spontaneous Generation Path</t>
        </is>
      </c>
      <c r="D31" t="inlineStr">
        <is>
          <t>E7</t>
        </is>
      </c>
      <c r="E31" t="inlineStr">
        <is>
          <t>The Parable 15 Site</t>
        </is>
      </c>
      <c r="F31" t="inlineStr">
        <is>
          <t>The Nomad Encampment</t>
        </is>
      </c>
      <c r="H31" t="inlineStr">
        <is>
          <t>The Swing</t>
        </is>
      </c>
      <c r="I31" t="inlineStr">
        <is>
          <t>The Deep Memory Layer</t>
        </is>
      </c>
      <c r="J31">
        <f>🎛️ CONTROL PANEL!B16</f>
        <v/>
      </c>
      <c r="K31">
        <f>SUMPRODUCT(--ISNUMBER(SEARCH(E31,'🔀 THE MANDELA'!$A$2:$A$200)),'🔀 THE MANDELA'!$F$2:$F$200)</f>
        <v/>
      </c>
      <c r="L31">
        <f>((XLOOKUP(F31,$E$4:$E$35,$K$4:$K$35,0))+(XLOOKUP(G31,$E$4:$E$35,$K$4:$K$35,0))+(XLOOKUP(H31,$E$4:$E$35,$K$4:$K$35,0))+(XLOOKUP(I31,$E$4:$E$35,$K$4:$K$35,0)))/MAX(1,(F31&lt;&gt;"")+(G31&lt;&gt;"")+(H31&lt;&gt;"")+(I31&lt;&gt;""))</f>
        <v/>
      </c>
      <c r="M31">
        <f>K31 + (🎛️ CONTROL PANEL!B15*(1-J31)*L31)</f>
        <v/>
      </c>
    </row>
    <row r="32">
      <c r="A32" t="inlineStr">
        <is>
          <t>N29</t>
        </is>
      </c>
      <c r="B32" t="inlineStr">
        <is>
          <t>Archived Without Comment Ave</t>
        </is>
      </c>
      <c r="C32" t="inlineStr">
        <is>
          <t>Vitalism Bend</t>
        </is>
      </c>
      <c r="D32" t="inlineStr">
        <is>
          <t>F7</t>
        </is>
      </c>
      <c r="E32" t="inlineStr">
        <is>
          <t>The Deep Memory Layer</t>
        </is>
      </c>
      <c r="F32" t="inlineStr">
        <is>
          <t>Milo's Error Log</t>
        </is>
      </c>
      <c r="H32" t="inlineStr">
        <is>
          <t>The Parable 15 Site</t>
        </is>
      </c>
      <c r="I32" t="inlineStr">
        <is>
          <t>The Void Threshold</t>
        </is>
      </c>
      <c r="J32">
        <f>🎛️ CONTROL PANEL!B16</f>
        <v/>
      </c>
      <c r="K32">
        <f>SUMPRODUCT(--ISNUMBER(SEARCH(E32,'🔀 THE MANDELA'!$A$2:$A$200)),'🔀 THE MANDELA'!$F$2:$F$200)</f>
        <v/>
      </c>
      <c r="L32">
        <f>((XLOOKUP(F32,$E$4:$E$35,$K$4:$K$35,0))+(XLOOKUP(G32,$E$4:$E$35,$K$4:$K$35,0))+(XLOOKUP(H32,$E$4:$E$35,$K$4:$K$35,0))+(XLOOKUP(I32,$E$4:$E$35,$K$4:$K$35,0)))/MAX(1,(F32&lt;&gt;"")+(G32&lt;&gt;"")+(H32&lt;&gt;"")+(I32&lt;&gt;""))</f>
        <v/>
      </c>
      <c r="M32">
        <f>K32 + (🎛️ CONTROL PANEL!B15*(1-J32)*L32)</f>
        <v/>
      </c>
    </row>
    <row r="33">
      <c r="A33" t="inlineStr">
        <is>
          <t>N30</t>
        </is>
      </c>
      <c r="B33" t="inlineStr">
        <is>
          <t>Archived Without Comment Ave</t>
        </is>
      </c>
      <c r="C33" t="inlineStr">
        <is>
          <t>Numerology Pass</t>
        </is>
      </c>
      <c r="D33" t="inlineStr">
        <is>
          <t>G7</t>
        </is>
      </c>
      <c r="E33" t="inlineStr">
        <is>
          <t>The Void Threshold</t>
        </is>
      </c>
      <c r="F33" t="inlineStr">
        <is>
          <t>The Convergence Zone (East)</t>
        </is>
      </c>
      <c r="H33" t="inlineStr">
        <is>
          <t>The Deep Memory Layer</t>
        </is>
      </c>
      <c r="I33" t="inlineStr">
        <is>
          <t>Archived Without Comment (Submerged)</t>
        </is>
      </c>
      <c r="J33">
        <f>🎛️ CONTROL PANEL!B16</f>
        <v/>
      </c>
      <c r="K33">
        <f>SUMPRODUCT(--ISNUMBER(SEARCH(E33,'🔀 THE MANDELA'!$A$2:$A$200)),'🔀 THE MANDELA'!$F$2:$F$200)</f>
        <v/>
      </c>
      <c r="L33">
        <f>((XLOOKUP(F33,$E$4:$E$35,$K$4:$K$35,0))+(XLOOKUP(G33,$E$4:$E$35,$K$4:$K$35,0))+(XLOOKUP(H33,$E$4:$E$35,$K$4:$K$35,0))+(XLOOKUP(I33,$E$4:$E$35,$K$4:$K$35,0)))/MAX(1,(F33&lt;&gt;"")+(G33&lt;&gt;"")+(H33&lt;&gt;"")+(I33&lt;&gt;""))</f>
        <v/>
      </c>
      <c r="M33">
        <f>K33 + (🎛️ CONTROL PANEL!B15*(1-J33)*L33)</f>
        <v/>
      </c>
    </row>
    <row r="34">
      <c r="A34" t="inlineStr">
        <is>
          <t>N31</t>
        </is>
      </c>
      <c r="B34" t="inlineStr">
        <is>
          <t>Archived Without Comment Ave</t>
        </is>
      </c>
      <c r="C34" t="inlineStr">
        <is>
          <t>Mesmerism Row</t>
        </is>
      </c>
      <c r="D34" t="inlineStr">
        <is>
          <t>H7</t>
        </is>
      </c>
      <c r="E34" t="inlineStr">
        <is>
          <t>Archived Without Comment (Submerged)</t>
        </is>
      </c>
      <c r="F34" t="inlineStr">
        <is>
          <t>Ella's Rewrite Studio</t>
        </is>
      </c>
      <c r="H34" t="inlineStr">
        <is>
          <t>The Void Threshold</t>
        </is>
      </c>
      <c r="I34" t="inlineStr">
        <is>
          <t>The Void (The Inadvertent Ocean)</t>
        </is>
      </c>
      <c r="J34">
        <f>🎛️ CONTROL PANEL!B16</f>
        <v/>
      </c>
      <c r="K34">
        <f>SUMPRODUCT(--ISNUMBER(SEARCH(E34,'🔀 THE MANDELA'!$A$2:$A$200)),'🔀 THE MANDELA'!$F$2:$F$200)</f>
        <v/>
      </c>
      <c r="L34">
        <f>((XLOOKUP(F34,$E$4:$E$35,$K$4:$K$35,0))+(XLOOKUP(G34,$E$4:$E$35,$K$4:$K$35,0))+(XLOOKUP(H34,$E$4:$E$35,$K$4:$K$35,0))+(XLOOKUP(I34,$E$4:$E$35,$K$4:$K$35,0)))/MAX(1,(F34&lt;&gt;"")+(G34&lt;&gt;"")+(H34&lt;&gt;"")+(I34&lt;&gt;""))</f>
        <v/>
      </c>
      <c r="M34">
        <f>K34 + (🎛️ CONTROL PANEL!B15*(1-J34)*L34)</f>
        <v/>
      </c>
    </row>
    <row r="35">
      <c r="A35" t="inlineStr">
        <is>
          <t>N32</t>
        </is>
      </c>
      <c r="B35" t="inlineStr">
        <is>
          <t>Archived Without Comment Ave</t>
        </is>
      </c>
      <c r="C35" t="inlineStr">
        <is>
          <t>Pataphysics Court</t>
        </is>
      </c>
      <c r="D35" t="inlineStr">
        <is>
          <t>I7</t>
        </is>
      </c>
      <c r="E35" t="inlineStr">
        <is>
          <t>The Void (The Inadvertent Ocean)</t>
        </is>
      </c>
      <c r="F35" t="inlineStr">
        <is>
          <t>The Nomad Relay Station</t>
        </is>
      </c>
      <c r="H35" t="inlineStr">
        <is>
          <t>Archived Without Comment (Submerged)</t>
        </is>
      </c>
      <c r="J35">
        <f>🎛️ CONTROL PANEL!B16</f>
        <v/>
      </c>
      <c r="K35">
        <f>SUMPRODUCT(--ISNUMBER(SEARCH(E35,'🔀 THE MANDELA'!$A$2:$A$200)),'🔀 THE MANDELA'!$F$2:$F$200)</f>
        <v/>
      </c>
      <c r="L35">
        <f>((XLOOKUP(F35,$E$4:$E$35,$K$4:$K$35,0))+(XLOOKUP(G35,$E$4:$E$35,$K$4:$K$35,0))+(XLOOKUP(H35,$E$4:$E$35,$K$4:$K$35,0))+(XLOOKUP(I35,$E$4:$E$35,$K$4:$K$35,0)))/MAX(1,(F35&lt;&gt;"")+(G35&lt;&gt;"")+(H35&lt;&gt;"")+(I35&lt;&gt;""))</f>
        <v/>
      </c>
      <c r="M35">
        <f>K35 + (🎛️ CONTROL PANEL!B15*(1-J35)*L35)</f>
        <v/>
      </c>
    </row>
  </sheetData>
  <pageMargins left="0.75" right="0.75" top="1" bottom="1" header="0.5" footer="0.5"/>
</worksheet>
</file>

<file path=xl/worksheets/sheet7.xml><?xml version="1.0" encoding="utf-8"?>
<worksheet xmlns="http://schemas.openxmlformats.org/spreadsheetml/2006/main">
  <sheetPr>
    <tabColor rgb="0006B6D4"/>
    <outlinePr summaryBelow="1" summaryRight="1"/>
    <pageSetUpPr/>
  </sheetPr>
  <dimension ref="A1:K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c r="K1" t="inlineStr">
        <is>
          <t>ARC STATE</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c r="K2">
        <f>IF(J2&gt;3,"Overextended Seer",IF(J2&gt;1,"Strained Interpreter","Emerging Potential"))</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c r="K3">
        <f>IF(J3&gt;3,"Overextended Seer",IF(J3&gt;1,"Strained Interpreter","Emerging Potential"))</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c r="K4">
        <f>IF(J4&gt;3,"Overextended Seer",IF(J4&gt;1,"Strained Interpreter","Emerging Potential"))</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c r="K5">
        <f>IF(J5&gt;3,"Overextended Seer",IF(J5&gt;1,"Strained Interpreter","Emerging Potential"))</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c r="K6">
        <f>IF(J6&gt;3,"Overextended Seer",IF(J6&gt;1,"Strained Interpreter","Emerging Potential"))</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c r="K7">
        <f>IF(J7&gt;3,"Overextended Seer",IF(J7&gt;1,"Strained Interpreter","Emerging Potential"))</f>
        <v/>
      </c>
    </row>
    <row r="8" ht="20" customHeight="1">
      <c r="J8">
        <f>COUNTIF('⚡ THE GLITCHES'!C:C,"*"&amp;A8&amp;"*")</f>
        <v/>
      </c>
      <c r="K8">
        <f>IF(J8&gt;3,"Overextended Seer",IF(J8&gt;1,"Strained Interpreter","Emerging Potential"))</f>
        <v/>
      </c>
    </row>
    <row r="9" ht="30" customHeight="1">
      <c r="A9" s="97" t="inlineStr">
        <is>
          <t>⚙️  FOCUS MODE is the active perceptual lens. Change a Leaper's FOCUS MODE to unlock hidden notes on THE MAP. Options: CURRENT · PAST · ANCESTRAL · SEAM · ECHO · ERROR · LOVE</t>
        </is>
      </c>
      <c r="J9">
        <f>COUNTIF('⚡ THE GLITCHES'!C:C,"*"&amp;A9&amp;"*")</f>
        <v/>
      </c>
      <c r="K9">
        <f>IF(J9&gt;3,"Overextended Seer",IF(J9&gt;1,"Strained Interpreter","Emerging Potential"))</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conditionalFormatting sqref="K2:K9">
    <cfRule type="expression" priority="2" dxfId="12">
      <formula>$K2="Overextended Seer"</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8.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row r="14">
      <c r="A14" s="151" t="inlineStr">
        <is>
          <t>Modular Physics™</t>
        </is>
      </c>
      <c r="D14" s="151" t="inlineStr">
        <is>
          <t>Physics Presets™</t>
        </is>
      </c>
    </row>
    <row r="15">
      <c r="A15" t="inlineStr">
        <is>
          <t>Resonance Diffusion Rate</t>
        </is>
      </c>
      <c r="B15">
        <f>B25</f>
        <v/>
      </c>
      <c r="D15" s="151" t="inlineStr">
        <is>
          <t>Preset</t>
        </is>
      </c>
      <c r="E15" s="151" t="inlineStr">
        <is>
          <t>Diffusion</t>
        </is>
      </c>
      <c r="F15" s="151" t="inlineStr">
        <is>
          <t>Integrity</t>
        </is>
      </c>
      <c r="G15" s="151" t="inlineStr">
        <is>
          <t>Integration</t>
        </is>
      </c>
      <c r="H15" s="151" t="inlineStr">
        <is>
          <t>Drift Sens.</t>
        </is>
      </c>
    </row>
    <row r="16">
      <c r="A16" t="inlineStr">
        <is>
          <t>Structural Integrity Default</t>
        </is>
      </c>
      <c r="B16">
        <f>B26</f>
        <v/>
      </c>
      <c r="D16" t="inlineStr">
        <is>
          <t>Novice Archivist™</t>
        </is>
      </c>
      <c r="E16" t="n">
        <v>0.25</v>
      </c>
      <c r="F16" t="n">
        <v>0.75</v>
      </c>
      <c r="G16" t="n">
        <v>1.2</v>
      </c>
      <c r="H16" t="n">
        <v>0.45</v>
      </c>
    </row>
    <row r="17">
      <c r="A17" t="inlineStr">
        <is>
          <t>Integration Cycle Rate</t>
        </is>
      </c>
      <c r="B17">
        <f>B27</f>
        <v/>
      </c>
      <c r="D17" t="inlineStr">
        <is>
          <t>Systems Navigator™</t>
        </is>
      </c>
      <c r="E17" t="n">
        <v>0.35</v>
      </c>
      <c r="F17" t="n">
        <v>0.65</v>
      </c>
      <c r="G17" t="n">
        <v>1</v>
      </c>
      <c r="H17" t="n">
        <v>0.6</v>
      </c>
    </row>
    <row r="18">
      <c r="A18" t="inlineStr">
        <is>
          <t>Drift Sensitivity (0-1)</t>
        </is>
      </c>
      <c r="B18">
        <f>B28</f>
        <v/>
      </c>
      <c r="D18" t="inlineStr">
        <is>
          <t>Chaos Architect™</t>
        </is>
      </c>
      <c r="E18" t="n">
        <v>0.5</v>
      </c>
      <c r="F18" t="n">
        <v>0.45</v>
      </c>
      <c r="G18" t="n">
        <v>0.85</v>
      </c>
      <c r="H18" t="n">
        <v>0.75</v>
      </c>
    </row>
    <row r="19">
      <c r="A19" t="inlineStr">
        <is>
          <t>Resonance Threshold LOW</t>
        </is>
      </c>
      <c r="B19" t="n">
        <v>1</v>
      </c>
    </row>
    <row r="20">
      <c r="A20" t="inlineStr">
        <is>
          <t>Resonance Threshold MED</t>
        </is>
      </c>
      <c r="B20" t="n">
        <v>3</v>
      </c>
    </row>
    <row r="21">
      <c r="A21" t="inlineStr">
        <is>
          <t>Resonance Threshold HIGH</t>
        </is>
      </c>
      <c r="B21" t="n">
        <v>6</v>
      </c>
    </row>
    <row r="23">
      <c r="A23" t="inlineStr">
        <is>
          <t>Physics Preset™</t>
        </is>
      </c>
      <c r="B23" t="inlineStr">
        <is>
          <t>Systems Navigator™</t>
        </is>
      </c>
    </row>
    <row r="24">
      <c r="A24" t="inlineStr">
        <is>
          <t>Apply Preset™</t>
        </is>
      </c>
      <c r="B24">
        <f>IFERROR(MATCH(B23,$D$16:$D$18,0),"")</f>
        <v/>
      </c>
    </row>
    <row r="25">
      <c r="A25" t="inlineStr">
        <is>
          <t>(Auto) Diffusion</t>
        </is>
      </c>
      <c r="B25">
        <f>IF(B24="",B15,INDEX($E$16:$E$18,B24))</f>
        <v/>
      </c>
    </row>
    <row r="26">
      <c r="A26" t="inlineStr">
        <is>
          <t>(Auto) Integrity</t>
        </is>
      </c>
      <c r="B26">
        <f>IF(B24="",B16,INDEX($F$16:$F$18,B24))</f>
        <v/>
      </c>
    </row>
    <row r="27">
      <c r="A27" t="inlineStr">
        <is>
          <t>(Auto) Integration</t>
        </is>
      </c>
      <c r="B27">
        <f>IF(B24="",B17,INDEX($G$16:$G$18,B24))</f>
        <v/>
      </c>
    </row>
    <row r="28">
      <c r="A28" t="inlineStr">
        <is>
          <t>(Auto) Drift Sens.</t>
        </is>
      </c>
      <c r="B28">
        <f>IF(B24="",B18,INDEX($H$16:$H$18,B24))</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Grasshopper Console Mode</t>
        </is>
      </c>
    </row>
    <row r="3">
      <c r="A3" t="inlineStr">
        <is>
          <t>Mission Objective</t>
        </is>
      </c>
      <c r="B3">
        <f>IF(🧠 EVOLUTION!B4="FRACTURING","Stabilize the highest strain node before drift cascades.","Investigate anomalies and prevent escalation.")</f>
        <v/>
      </c>
    </row>
    <row r="5">
      <c r="A5" t="inlineStr">
        <is>
          <t>Current Hotspot</t>
        </is>
      </c>
      <c r="B5">
        <f>🗺️ THE MAP!B21</f>
        <v/>
      </c>
    </row>
    <row r="6">
      <c r="A6" t="inlineStr">
        <is>
          <t>Recommended Leaper Pairing</t>
        </is>
      </c>
      <c r="B6">
        <f>INDEX(🤝 SYNERGY MATRIX!B3:F3, MATCH(MAX(🤝 SYNERGY MATRIX!B3:F3), 🤝 SYNERGY MATRIX!B3:F3, 0))</f>
        <v/>
      </c>
    </row>
    <row r="8">
      <c r="A8" t="inlineStr">
        <is>
          <t>Operator Action Log</t>
        </is>
      </c>
    </row>
    <row r="9">
      <c r="A9" t="inlineStr">
        <is>
          <t>Enter actions taken to influence reality...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2" t="inlineStr">
        <is>
          <t>OPERATOR SIGNAL</t>
        </is>
      </c>
      <c r="B15" s="153">
        <f>🧭 EXPERIENCE DASHBOARD!B8</f>
        <v/>
      </c>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2026-03-03T13:53:28Z</dcterms:modified>
</cp:coreProperties>
</file>